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30" yWindow="3030" windowWidth="38700" windowHeight="15345" tabRatio="600" firstSheet="0" activeTab="0" autoFilterDateGrouping="1"/>
  </bookViews>
  <sheets>
    <sheet xmlns:r="http://schemas.openxmlformats.org/officeDocument/2006/relationships" name="Plantilla (equipos)" sheetId="1" state="visible" r:id="rId1"/>
    <sheet xmlns:r="http://schemas.openxmlformats.org/officeDocument/2006/relationships" name="Estimador_resumen" sheetId="2" state="visible" r:id="rId2"/>
    <sheet xmlns:r="http://schemas.openxmlformats.org/officeDocument/2006/relationships" name="Estimador_desglosado" sheetId="3" state="visible" r:id="rId3"/>
    <sheet xmlns:r="http://schemas.openxmlformats.org/officeDocument/2006/relationships" name="Ponderaciones" sheetId="4" state="visible" r:id="rId4"/>
    <sheet xmlns:r="http://schemas.openxmlformats.org/officeDocument/2006/relationships" name="Hoja1" sheetId="5" state="visible" r:id="rId5"/>
    <sheet xmlns:r="http://schemas.openxmlformats.org/officeDocument/2006/relationships" name="Definiciones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sz val="9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2E5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399975585192419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7" fillId="0" borderId="0"/>
    <xf numFmtId="9" fontId="7" fillId="0" borderId="0"/>
    <xf numFmtId="0" fontId="7" fillId="10" borderId="0"/>
    <xf numFmtId="0" fontId="9" fillId="0" borderId="0"/>
  </cellStyleXfs>
  <cellXfs count="91">
    <xf numFmtId="0" fontId="0" fillId="0" borderId="0" pivotButton="0" quotePrefix="0" xfId="0"/>
    <xf numFmtId="0" fontId="0" fillId="0" borderId="0" applyAlignment="1" pivotButton="0" quotePrefix="0" xfId="0">
      <alignment horizontal="distributed" indent="1"/>
    </xf>
    <xf numFmtId="0" fontId="1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right" vertical="center"/>
    </xf>
    <xf numFmtId="0" fontId="1" fillId="2" borderId="7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 wrapText="1"/>
    </xf>
    <xf numFmtId="49" fontId="1" fillId="9" borderId="5" applyAlignment="1" pivotButton="0" quotePrefix="0" xfId="0">
      <alignment horizontal="center" vertical="center"/>
    </xf>
    <xf numFmtId="49" fontId="1" fillId="8" borderId="5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0" borderId="1" applyAlignment="1" pivotButton="0" quotePrefix="0" xfId="0">
      <alignment vertical="center"/>
    </xf>
    <xf numFmtId="1" fontId="1" fillId="0" borderId="1" applyAlignment="1" pivotButton="0" quotePrefix="0" xfId="0">
      <alignment horizontal="right" vertical="center"/>
    </xf>
    <xf numFmtId="2" fontId="0" fillId="0" borderId="10" pivotButton="0" quotePrefix="0" xfId="0"/>
    <xf numFmtId="1" fontId="0" fillId="0" borderId="10" pivotButton="0" quotePrefix="0" xfId="0"/>
    <xf numFmtId="2" fontId="1" fillId="0" borderId="9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49" fontId="1" fillId="9" borderId="5" applyAlignment="1" pivotButton="0" quotePrefix="0" xfId="0">
      <alignment horizontal="left" vertical="center"/>
    </xf>
    <xf numFmtId="49" fontId="1" fillId="8" borderId="5" applyAlignment="1" pivotButton="0" quotePrefix="0" xfId="0">
      <alignment horizontal="left" vertical="center"/>
    </xf>
    <xf numFmtId="49" fontId="1" fillId="9" borderId="5" applyAlignment="1" pivotButton="0" quotePrefix="0" xfId="0">
      <alignment horizontal="right" vertical="center"/>
    </xf>
    <xf numFmtId="49" fontId="1" fillId="8" borderId="5" applyAlignment="1" pivotButton="0" quotePrefix="0" xfId="0">
      <alignment horizontal="right" vertical="center"/>
    </xf>
    <xf numFmtId="0" fontId="1" fillId="2" borderId="12" applyAlignment="1" pivotButton="0" quotePrefix="0" xfId="0">
      <alignment horizontal="left" vertical="center"/>
    </xf>
    <xf numFmtId="49" fontId="1" fillId="9" borderId="11" applyAlignment="1" pivotButton="0" quotePrefix="0" xfId="0">
      <alignment horizontal="right" vertical="center"/>
    </xf>
    <xf numFmtId="49" fontId="1" fillId="8" borderId="1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2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Protection="1" pivotButton="0" quotePrefix="0" xfId="0">
      <protection locked="0" hidden="0"/>
    </xf>
    <xf numFmtId="0" fontId="3" fillId="2" borderId="9" applyAlignment="1" applyProtection="1" pivotButton="0" quotePrefix="0" xfId="0">
      <alignment horizontal="left" vertical="center"/>
      <protection locked="0" hidden="0"/>
    </xf>
    <xf numFmtId="0" fontId="3" fillId="2" borderId="1" applyAlignment="1" applyProtection="1" pivotButton="0" quotePrefix="0" xfId="0">
      <alignment horizontal="left" vertical="center"/>
      <protection locked="0" hidden="0"/>
    </xf>
    <xf numFmtId="0" fontId="3" fillId="2" borderId="1" applyAlignment="1" applyProtection="1" pivotButton="0" quotePrefix="0" xfId="0">
      <alignment horizontal="left" vertical="center" wrapText="1"/>
      <protection locked="0" hidden="0"/>
    </xf>
    <xf numFmtId="49" fontId="0" fillId="0" borderId="9" applyProtection="1" pivotButton="0" quotePrefix="0" xfId="0">
      <protection locked="0" hidden="0"/>
    </xf>
    <xf numFmtId="49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5" fillId="6" borderId="0" pivotButton="0" quotePrefix="1" xfId="0"/>
    <xf numFmtId="0" fontId="8" fillId="0" borderId="0" pivotButton="0" quotePrefix="0" xfId="0"/>
    <xf numFmtId="0" fontId="5" fillId="6" borderId="0" pivotButton="0" quotePrefix="0" xfId="0"/>
    <xf numFmtId="0" fontId="0" fillId="6" borderId="0" pivotButton="0" quotePrefix="0" xfId="0"/>
    <xf numFmtId="0" fontId="0" fillId="6" borderId="13" pivotButton="0" quotePrefix="0" xfId="0"/>
    <xf numFmtId="0" fontId="7" fillId="10" borderId="0" pivotButton="0" quotePrefix="0" xfId="2"/>
    <xf numFmtId="0" fontId="9" fillId="0" borderId="0" applyAlignment="1" pivotButton="0" quotePrefix="0" xfId="3">
      <alignment horizontal="left" vertical="center" wrapText="1"/>
    </xf>
    <xf numFmtId="0" fontId="7" fillId="10" borderId="0" applyAlignment="1" pivotButton="0" quotePrefix="0" xfId="2">
      <alignment wrapText="1"/>
    </xf>
    <xf numFmtId="0" fontId="10" fillId="11" borderId="14" pivotButton="0" quotePrefix="0" xfId="0"/>
    <xf numFmtId="0" fontId="8" fillId="0" borderId="12" applyAlignment="1" pivotButton="0" quotePrefix="0" xfId="0">
      <alignment horizontal="left" vertical="center"/>
    </xf>
    <xf numFmtId="10" fontId="11" fillId="2" borderId="0" pivotButton="0" quotePrefix="0" xfId="0"/>
    <xf numFmtId="0" fontId="11" fillId="2" borderId="0" pivotButton="0" quotePrefix="0" xfId="0"/>
    <xf numFmtId="10" fontId="0" fillId="2" borderId="0" pivotButton="0" quotePrefix="0" xfId="1"/>
    <xf numFmtId="0" fontId="0" fillId="2" borderId="0" pivotButton="0" quotePrefix="0" xfId="0"/>
    <xf numFmtId="0" fontId="0" fillId="2" borderId="15" pivotButton="0" quotePrefix="0" xfId="0"/>
    <xf numFmtId="0" fontId="11" fillId="0" borderId="0" pivotButton="0" quotePrefix="0" xfId="0"/>
    <xf numFmtId="0" fontId="0" fillId="0" borderId="15" pivotButton="0" quotePrefix="0" xfId="0"/>
    <xf numFmtId="0" fontId="12" fillId="11" borderId="14" pivotButton="0" quotePrefix="0" xfId="0"/>
    <xf numFmtId="0" fontId="1" fillId="4" borderId="1" applyAlignment="1" pivotButton="0" quotePrefix="0" xfId="0">
      <alignment horizontal="right" vertical="center"/>
    </xf>
    <xf numFmtId="0" fontId="10" fillId="11" borderId="14" pivotButton="0" quotePrefix="0" xfId="0"/>
    <xf numFmtId="0" fontId="0" fillId="0" borderId="14" pivotButton="0" quotePrefix="0" xfId="0"/>
    <xf numFmtId="0" fontId="5" fillId="0" borderId="0" pivotButton="0" quotePrefix="0" xfId="0"/>
    <xf numFmtId="0" fontId="5" fillId="6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8" borderId="6" applyAlignment="1" pivotButton="0" quotePrefix="0" xfId="0">
      <alignment horizontal="left" vertical="center"/>
    </xf>
    <xf numFmtId="0" fontId="1" fillId="8" borderId="9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8" borderId="2" applyAlignment="1" pivotButton="0" quotePrefix="0" xfId="0">
      <alignment horizontal="left" vertical="center"/>
    </xf>
    <xf numFmtId="0" fontId="1" fillId="8" borderId="3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</cellXfs>
  <cellStyles count="4">
    <cellStyle name="Normal" xfId="0" builtinId="0"/>
    <cellStyle name="Porcentaje" xfId="1" builtinId="5"/>
    <cellStyle name="20% - Énfasis4" xfId="2" builtinId="42"/>
    <cellStyle name="Hipervínculo" xfId="3" builtinId="8"/>
  </cellStyles>
  <dxfs count="36">
    <dxf>
      <border outline="0"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/>
      <border outline="0">
        <left style="thin">
          <color indexed="64"/>
        </left>
      </border>
    </dxf>
    <dxf>
      <alignment horizontal="left" vertical="center"/>
    </dxf>
    <dxf>
      <border outline="0"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9" tint="0.7999816888943144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rgb="FFF2E5FF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7" tint="0.7999816888943144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4" tint="0.7999816888943144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fill>
        <patternFill patternType="solid">
          <fgColor indexed="64"/>
          <bgColor theme="0" tint="-0.0499893185216834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9"/>
        <vertAlign val="baseline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left style="thin">
          <color theme="4" tint="0.3999755851924192"/>
        </left>
      </border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7" tint="0.7999816888943144"/>
        </patternFill>
      </fill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Valoraciones" displayName="TValoraciones" ref="E10:J18" headerRowCount="1" totalsRowShown="0" headerRowDxfId="35" headerRowBorderDxfId="34">
  <autoFilter ref="E10:J18"/>
  <tableColumns count="6">
    <tableColumn id="1" name="Fase" dataDxfId="33"/>
    <tableColumn id="2" name="Tarea"/>
    <tableColumn id="6" name="Horas"/>
    <tableColumn id="3" name="Descripción"/>
    <tableColumn id="4" name="Premisas / Asunciones"/>
    <tableColumn id="5" name="Comentarios intern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ula5" displayName="Taula5" ref="A2:C8" headerRowCount="1" totalsRowShown="0" dataDxfId="32" tableBorderDxfId="31">
  <autoFilter ref="A2:C8"/>
  <tableColumns count="3">
    <tableColumn id="1" name="Fase" dataDxfId="30"/>
    <tableColumn id="2" name="Horas" dataDxfId="29">
      <calculatedColumnFormula>SUMIF(TValoraciones[Fase],A3,TValoraciones[Horas])</calculatedColumnFormula>
    </tableColumn>
    <tableColumn id="3" name="%" dataDxfId="28">
      <calculatedColumnFormula>Taula5[[#This Row],[Horas]]/$B$10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4" displayName="Tabla4" ref="A6:I101" headerRowCount="1" totalsRowShown="0" headerRowDxfId="27" tableBorderDxfId="26">
  <autoFilter ref="A6:I101"/>
  <tableColumns count="9">
    <tableColumn id="1" name="TIPO" dataDxfId="25"/>
    <tableColumn id="2" name="NUEVO" dataDxfId="24"/>
    <tableColumn id="3" name="Descripción" dataDxfId="23"/>
    <tableColumn id="4" name="Propiedad" dataDxfId="22"/>
    <tableColumn id="5" name="Metódo" dataDxfId="21"/>
    <tableColumn id="6" name="Eventos" dataDxfId="20"/>
    <tableColumn id="7" name="Integracion" dataDxfId="19"/>
    <tableColumn id="8" name="Reglas" dataDxfId="18"/>
    <tableColumn id="10" name="Desarrollo Horas" dataDxfId="17">
      <calculatedColumnFormula>IF(COUNTIF(Tiempos[Tipo de Tarea], A102)=0, 0, SUMPRODUCT(INDEX(Tiempos[[Propiedad]:[Regla 
Negocio]], MATCH(A102, Tiempos[Tipo de Tarea], 0), 0), D7:H7)) * IFERROR(INDEX(Ponderaciones!B11:B12, MATCH(B7, Ponderaciones!A11:A12, 0)), 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empos" displayName="Tiempos" ref="A2:F8" headerRowCount="1" totalsRowShown="0" headerRowDxfId="16" headerRowBorderDxfId="15" tableBorderDxfId="14" totalsRowBorderDxfId="13">
  <autoFilter ref="A2:F8"/>
  <tableColumns count="6">
    <tableColumn id="1" name="Tipo de Tarea" dataDxfId="12"/>
    <tableColumn id="2" name="Propiedad" dataDxfId="11"/>
    <tableColumn id="3" name="Método" dataDxfId="10"/>
    <tableColumn id="4" name="Evento" dataDxfId="9"/>
    <tableColumn id="5" name="Integración" dataDxfId="8"/>
    <tableColumn id="6" name="Regla _x000a_Negocio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ertidumbre" displayName="Incertidumbre" ref="H10:I14" headerRowCount="1" totalsRowShown="0" headerRowDxfId="6" headerRowBorderDxfId="5">
  <autoFilter ref="H10:I14"/>
  <tableColumns count="2">
    <tableColumn id="1" name="Incertidumbre" dataDxfId="4"/>
    <tableColumn id="2" name="Factor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coplamiento" displayName="Acoplamiento" ref="H17:I19" headerRowCount="1" totalsRowShown="0" headerRowDxfId="2" headerRowBorderDxfId="1" tableBorderDxfId="0">
  <autoFilter ref="H17:I19"/>
  <tableColumns count="2">
    <tableColumn id="1" name="Acoplamiento"/>
    <tableColumn id="2" name="F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jira.gva.es/browse/GESTIC-XXXXXX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workbookViewId="0">
      <selection activeCell="C13" sqref="C13"/>
    </sheetView>
  </sheetViews>
  <sheetFormatPr baseColWidth="10" defaultColWidth="8.5703125" defaultRowHeight="15"/>
  <cols>
    <col width="21" bestFit="1" customWidth="1" min="1" max="1"/>
    <col width="26.5703125" customWidth="1" min="2" max="2"/>
    <col width="9" bestFit="1" customWidth="1" min="3" max="3"/>
    <col width="9.140625" customWidth="1" min="4" max="4"/>
    <col width="24" bestFit="1" customWidth="1" min="5" max="5"/>
    <col width="35.42578125" customWidth="1" min="6" max="6"/>
    <col width="11.28515625" bestFit="1" customWidth="1" min="7" max="7"/>
    <col width="73.85546875" bestFit="1" customWidth="1" min="8" max="8"/>
    <col width="27.85546875" bestFit="1" customWidth="1" min="9" max="9"/>
    <col width="56.42578125" bestFit="1" customWidth="1" min="10" max="10"/>
    <col width="22.42578125" customWidth="1" min="11" max="11"/>
  </cols>
  <sheetData>
    <row r="1" ht="21.75" customHeight="1" thickBot="1">
      <c r="E1" s="70" t="inlineStr">
        <is>
          <t>Detalle de las tareas</t>
        </is>
      </c>
      <c r="F1" s="72" t="n"/>
      <c r="G1" s="72" t="n"/>
      <c r="H1" s="72" t="n"/>
      <c r="I1" s="72" t="n"/>
      <c r="J1" s="72" t="n"/>
    </row>
    <row r="2">
      <c r="A2" s="69" t="inlineStr">
        <is>
          <t>Fase</t>
        </is>
      </c>
      <c r="B2" t="inlineStr">
        <is>
          <t>Horas</t>
        </is>
      </c>
      <c r="C2" t="inlineStr">
        <is>
          <t>%</t>
        </is>
      </c>
    </row>
    <row r="3" ht="15.75" customHeight="1">
      <c r="A3" s="67" t="inlineStr">
        <is>
          <t>Análisis funcional</t>
        </is>
      </c>
      <c r="B3" s="66">
        <f>SUMIF(TValoraciones[Fase],A3,TValoraciones[Horas])</f>
        <v/>
      </c>
      <c r="C3" s="65">
        <f>Taula5[[#This Row],[Horas]]/$B$10</f>
        <v/>
      </c>
      <c r="E3" s="68" t="inlineStr">
        <is>
          <t>Título de la propuesta:</t>
        </is>
      </c>
      <c r="F3" s="74" t="inlineStr">
        <is>
          <t>GESTIC-XXXXXX - Proyecto - Descripcion</t>
        </is>
      </c>
    </row>
    <row r="4">
      <c r="A4" s="67" t="inlineStr">
        <is>
          <t>Análisis técnico</t>
        </is>
      </c>
      <c r="B4" s="66">
        <f>SUMIF(TValoraciones[Fase],A4,TValoraciones[Horas])</f>
        <v/>
      </c>
      <c r="C4" s="65">
        <f>Taula5[[#This Row],[Horas]]/$B$10</f>
        <v/>
      </c>
      <c r="F4" s="74" t="n"/>
      <c r="G4" s="74" t="n"/>
      <c r="H4" s="74" t="n"/>
      <c r="I4" s="74" t="n"/>
      <c r="J4" s="74" t="n"/>
    </row>
    <row r="5">
      <c r="A5" s="67" t="inlineStr">
        <is>
          <t>Desarrollo</t>
        </is>
      </c>
      <c r="B5" s="66">
        <f>SUMIF(TValoraciones[Fase],A5,TValoraciones[Horas])</f>
        <v/>
      </c>
      <c r="C5" s="65">
        <f>Taula5[[#This Row],[Horas]]/$B$10</f>
        <v/>
      </c>
      <c r="F5" s="74" t="n"/>
      <c r="G5" s="74" t="n"/>
      <c r="H5" s="74" t="n"/>
      <c r="I5" s="74" t="n"/>
      <c r="J5" s="74" t="n"/>
    </row>
    <row r="6" ht="15.75" customHeight="1">
      <c r="A6" s="67" t="inlineStr">
        <is>
          <t>Testing</t>
        </is>
      </c>
      <c r="B6" s="66">
        <f>SUMIF(TValoraciones[Fase],A6,TValoraciones[Horas])</f>
        <v/>
      </c>
      <c r="C6" s="65">
        <f>Taula5[[#This Row],[Horas]]/$B$10</f>
        <v/>
      </c>
      <c r="E6" s="68" t="inlineStr">
        <is>
          <t>Comentarios generales:</t>
        </is>
      </c>
      <c r="F6" s="75" t="inlineStr">
        <is>
          <t>GESTIC-XXXXXX - Proyecto - Descripcion</t>
        </is>
      </c>
    </row>
    <row r="7">
      <c r="A7" s="67" t="inlineStr">
        <is>
          <t>Despliegues</t>
        </is>
      </c>
      <c r="B7" s="66">
        <f>SUMIF(TValoraciones[Fase],A7,TValoraciones[Horas])</f>
        <v/>
      </c>
      <c r="C7" s="65">
        <f>Taula5[[#This Row],[Horas]]/$B$10</f>
        <v/>
      </c>
    </row>
    <row r="8">
      <c r="A8" s="67" t="inlineStr">
        <is>
          <t>Gestión Conocimiento</t>
        </is>
      </c>
      <c r="B8" s="66">
        <f>SUMIF(TValoraciones[Fase],A8,TValoraciones[Horas])</f>
        <v/>
      </c>
      <c r="C8" s="65">
        <f>Taula5[[#This Row],[Horas]]/$B$10</f>
        <v/>
      </c>
    </row>
    <row r="10" ht="15.75" customHeight="1">
      <c r="A10" s="64" t="inlineStr">
        <is>
          <t>Total</t>
        </is>
      </c>
      <c r="B10" s="64">
        <f>SUM(Taula5[Horas])</f>
        <v/>
      </c>
      <c r="C10" s="63">
        <f>SUM(Taula5[%])</f>
        <v/>
      </c>
      <c r="E10" s="62" t="inlineStr">
        <is>
          <t>Fase</t>
        </is>
      </c>
      <c r="F10" s="62" t="inlineStr">
        <is>
          <t>Tarea</t>
        </is>
      </c>
      <c r="G10" s="62" t="inlineStr">
        <is>
          <t>Horas</t>
        </is>
      </c>
      <c r="H10" s="62" t="inlineStr">
        <is>
          <t>Descripción</t>
        </is>
      </c>
      <c r="I10" s="62" t="inlineStr">
        <is>
          <t>Premisas / Asunciones</t>
        </is>
      </c>
      <c r="J10" s="62" t="inlineStr">
        <is>
          <t>Comentarios internos</t>
        </is>
      </c>
    </row>
    <row r="11">
      <c r="E11" s="56" t="inlineStr">
        <is>
          <t>Gestión Conocimiento</t>
        </is>
      </c>
      <c r="F11" s="58" t="inlineStr">
        <is>
          <t>Gestión</t>
        </is>
      </c>
      <c r="G11" s="58">
        <f>ROUNDUP(Estimador_resumen!C6,0)</f>
        <v/>
      </c>
      <c r="H11" s="58" t="inlineStr">
        <is>
          <t xml:space="preserve">Daily,  Reuniones de soporte, Reuniones de seguimiento </t>
        </is>
      </c>
      <c r="I11" s="58" t="n"/>
      <c r="J11" s="58" t="n"/>
    </row>
    <row r="12">
      <c r="E12" s="56" t="inlineStr">
        <is>
          <t>Gestión Conocimiento</t>
        </is>
      </c>
      <c r="F12" s="58" t="inlineStr">
        <is>
          <t>Documentación</t>
        </is>
      </c>
      <c r="G12" s="58">
        <f>ROUNDUP(Estimador_resumen!C10,0)</f>
        <v/>
      </c>
      <c r="H12" s="58" t="inlineStr">
        <is>
          <t>Documentacion ( JsDoc, evidencias de pruebas)</t>
        </is>
      </c>
      <c r="I12" s="58" t="n"/>
      <c r="J12" s="58" t="n"/>
    </row>
    <row r="13">
      <c r="E13" s="56" t="inlineStr">
        <is>
          <t>Análisis técnico</t>
        </is>
      </c>
      <c r="F13" s="58" t="inlineStr">
        <is>
          <t>Análisis técnico</t>
        </is>
      </c>
      <c r="G13" s="58">
        <f>ROUNDUP(Estimador_resumen!C7,0)</f>
        <v/>
      </c>
      <c r="H13" s="58" t="inlineStr">
        <is>
          <t>Análisis incial de requisitos, reuniones de contexto, evaluación técnica para el desarrollo de la pantalla y estimación</t>
        </is>
      </c>
      <c r="I13" s="58" t="n"/>
      <c r="J13" s="58" t="n"/>
    </row>
    <row r="14" ht="46.5" customHeight="1" thickBot="1">
      <c r="A14" s="72" t="inlineStr">
        <is>
          <t>Datos de la propuesta</t>
        </is>
      </c>
      <c r="B14" s="73" t="n"/>
      <c r="E14" s="56" t="inlineStr">
        <is>
          <t>Desarrollo</t>
        </is>
      </c>
      <c r="F14" s="58" t="inlineStr">
        <is>
          <t>Desarrollo</t>
        </is>
      </c>
      <c r="G14" s="58">
        <f>ROUNDUP(Estimador_resumen!C8,0)</f>
        <v/>
      </c>
      <c r="H14" s="60" t="inlineStr">
        <is>
          <t>Crear en el componente para página de administración, añadirlo en routing y en menu
Crear componente formulario de Unidad departamental</t>
        </is>
      </c>
      <c r="I14" s="58" t="n"/>
      <c r="J14" s="58" t="n"/>
    </row>
    <row r="15">
      <c r="E15" s="56" t="inlineStr">
        <is>
          <t>Testing</t>
        </is>
      </c>
      <c r="F15" s="58" t="inlineStr">
        <is>
          <t>Test unitarios</t>
        </is>
      </c>
      <c r="G15" s="58">
        <f>ROUNDUP(Estimador_resumen!C9,0)</f>
        <v/>
      </c>
      <c r="H15" s="58" t="inlineStr">
        <is>
          <t>Ejecución de pruebas unitarias para asegurar la funcionalidad</t>
        </is>
      </c>
      <c r="I15" s="58" t="n"/>
      <c r="J15" s="58" t="n"/>
    </row>
    <row r="16">
      <c r="A16" s="54" t="inlineStr">
        <is>
          <t>Gestic</t>
        </is>
      </c>
      <c r="B16" s="59" t="inlineStr">
        <is>
          <t>GESTIC-XXXXXX</t>
        </is>
      </c>
      <c r="E16" s="56" t="inlineStr">
        <is>
          <t>Testing</t>
        </is>
      </c>
      <c r="F16" s="58" t="inlineStr">
        <is>
          <t>Peer review</t>
        </is>
      </c>
      <c r="G16" s="58">
        <f>ROUNDUP(Estimador_resumen!C11,0)</f>
        <v/>
      </c>
      <c r="H16" s="58" t="inlineStr">
        <is>
          <t>Revisión de código por pares</t>
        </is>
      </c>
      <c r="I16" s="58" t="n"/>
      <c r="J16" s="58" t="n"/>
    </row>
    <row r="17">
      <c r="A17" s="54" t="inlineStr">
        <is>
          <t>Área</t>
        </is>
      </c>
      <c r="B17" s="55" t="inlineStr">
        <is>
          <t>Reg. Elect. de la Generalitat</t>
        </is>
      </c>
      <c r="E17" s="56" t="inlineStr">
        <is>
          <t>Despliegues</t>
        </is>
      </c>
      <c r="F17" s="58" t="inlineStr">
        <is>
          <t>Integración del desarrollo</t>
        </is>
      </c>
      <c r="G17" s="58">
        <f>ROUNDUP(Estimador_resumen!C12,0)</f>
        <v/>
      </c>
      <c r="H17" s="58" t="inlineStr">
        <is>
          <t>Integración del desarrollos en GIT</t>
        </is>
      </c>
      <c r="I17" s="58" t="n"/>
      <c r="J17" s="58" t="n"/>
    </row>
    <row r="18">
      <c r="A18" s="54" t="inlineStr">
        <is>
          <t>CI</t>
        </is>
      </c>
      <c r="B18" s="55" t="n"/>
      <c r="E18" s="57" t="inlineStr">
        <is>
          <t>Análisis funcional</t>
        </is>
      </c>
      <c r="F18" s="56" t="inlineStr">
        <is>
          <t>Análisis funcional</t>
        </is>
      </c>
      <c r="G18" s="58" t="n">
        <v>1</v>
      </c>
      <c r="H18" s="56" t="inlineStr">
        <is>
          <t>Revisión de documentación.</t>
        </is>
      </c>
      <c r="I18" s="56" t="n"/>
      <c r="J18" s="56" t="n"/>
    </row>
    <row r="19">
      <c r="A19" s="54" t="inlineStr">
        <is>
          <t>Año</t>
        </is>
      </c>
      <c r="B19" s="55" t="n">
        <v>2025</v>
      </c>
    </row>
    <row r="20">
      <c r="A20" s="54" t="inlineStr">
        <is>
          <t>Mes</t>
        </is>
      </c>
      <c r="B20" s="53" t="n">
        <v>9</v>
      </c>
    </row>
  </sheetData>
  <mergeCells count="3">
    <mergeCell ref="A14:B14"/>
    <mergeCell ref="F3:J3"/>
    <mergeCell ref="F6:J6"/>
  </mergeCells>
  <hyperlinks>
    <hyperlink xmlns:r="http://schemas.openxmlformats.org/officeDocument/2006/relationships" ref="B16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2"/>
  <sheetViews>
    <sheetView workbookViewId="0">
      <selection activeCell="B6" sqref="B6"/>
    </sheetView>
  </sheetViews>
  <sheetFormatPr baseColWidth="10" defaultColWidth="11.42578125" defaultRowHeight="15"/>
  <cols>
    <col width="2.42578125" customWidth="1" min="1" max="1"/>
    <col width="32.7109375" customWidth="1" min="2" max="2"/>
    <col width="11.28515625" bestFit="1" customWidth="1" min="3" max="4"/>
  </cols>
  <sheetData>
    <row r="1">
      <c r="C1" t="inlineStr">
        <is>
          <t>Media</t>
        </is>
      </c>
    </row>
    <row r="2">
      <c r="B2" s="29" t="inlineStr">
        <is>
          <t>INCERTIDUMBRE</t>
        </is>
      </c>
      <c r="C2" s="40" t="inlineStr">
        <is>
          <t>Sí</t>
        </is>
      </c>
      <c r="D2" s="40">
        <f>IFERROR(INDEX(Incertidumbre[Factor], MATCH(C2, Incertidumbre[Incertidumbre], 0)), 0)</f>
        <v/>
      </c>
    </row>
    <row r="3">
      <c r="B3" s="29" t="inlineStr">
        <is>
          <t>ACOPLAMIENTO</t>
        </is>
      </c>
      <c r="C3" s="40" t="inlineStr">
        <is>
          <t>No</t>
        </is>
      </c>
      <c r="D3" s="40">
        <f>IFERROR(INDEX(Acoplamiento[Factor], MATCH(C3, Acoplamiento[Acoplamiento], 0)), 0)</f>
        <v/>
      </c>
    </row>
    <row r="5">
      <c r="B5" s="29" t="inlineStr">
        <is>
          <t>NOMBRE</t>
        </is>
      </c>
      <c r="C5" s="29" t="inlineStr">
        <is>
          <t>Horas formula</t>
        </is>
      </c>
      <c r="D5" s="29" t="n">
        <v>0</v>
      </c>
    </row>
    <row r="6">
      <c r="B6" s="87" t="inlineStr">
        <is>
          <t>Gestión</t>
        </is>
      </c>
      <c r="C6" s="40">
        <f>SUM(Estimador_desglosado!I4*Ponderaciones!B19,Ponderaciones!D19*Estimador_desglosado!I4/8.5)</f>
        <v/>
      </c>
      <c r="D6" s="40" t="n">
        <v>72</v>
      </c>
    </row>
    <row r="7">
      <c r="B7" s="87" t="inlineStr">
        <is>
          <t>Analisis técnico</t>
        </is>
      </c>
      <c r="C7" s="40">
        <f>PRODUCT(SUM(PRODUCT(Estimador_desglosado!I4, Ponderaciones!B20),(Ponderaciones!C20/60)),1+D2)</f>
        <v/>
      </c>
      <c r="D7" s="40" t="n">
        <v>432</v>
      </c>
    </row>
    <row r="8">
      <c r="B8" s="87" t="inlineStr">
        <is>
          <t>Construcción</t>
        </is>
      </c>
      <c r="C8" s="40">
        <f>PRODUCT(SUM(Estimador_desglosado!I4,PRODUCT(Estimador_desglosado!I4, Ponderaciones!B21),(Ponderaciones!C21/60)),1+D2+D3)</f>
        <v/>
      </c>
      <c r="D8" s="40" t="n">
        <v>144</v>
      </c>
    </row>
    <row r="9">
      <c r="B9" s="87" t="inlineStr">
        <is>
          <t>Pruebas</t>
        </is>
      </c>
      <c r="C9" s="40">
        <f>SUM(PRODUCT(Estimador_desglosado!I4, Ponderaciones!B22),(Ponderaciones!C22/60))</f>
        <v/>
      </c>
      <c r="D9" s="40" t="n">
        <v>36</v>
      </c>
    </row>
    <row r="10">
      <c r="B10" s="87" t="inlineStr">
        <is>
          <t>Documentación</t>
        </is>
      </c>
      <c r="C10" s="40">
        <f>SUM(PRODUCT(Estimador_desglosado!I4, Ponderaciones!B23),(Ponderaciones!C23/60))</f>
        <v/>
      </c>
      <c r="D10" s="40" t="n">
        <v>36</v>
      </c>
    </row>
    <row r="11">
      <c r="B11" s="87" t="inlineStr">
        <is>
          <t>Peer Review</t>
        </is>
      </c>
      <c r="C11" s="40">
        <f>SUM(PRODUCT(Estimador_desglosado!I4, Ponderaciones!B24),(Ponderaciones!C24/60))</f>
        <v/>
      </c>
      <c r="D11" s="40">
        <f>MROUND(C11, 0.25)</f>
        <v/>
      </c>
    </row>
    <row r="12">
      <c r="B12" s="87" t="inlineStr">
        <is>
          <t>Integración/Despliegue</t>
        </is>
      </c>
      <c r="C12" s="40">
        <f>SUM(PRODUCT(Estimador_desglosado!I4, Ponderaciones!B25),(Ponderaciones!C25/60))</f>
        <v/>
      </c>
      <c r="D12" s="40">
        <f>MROUND(C12, 0.25)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M110"/>
  <sheetViews>
    <sheetView zoomScale="70" zoomScaleNormal="70" workbookViewId="0">
      <selection activeCell="D7" sqref="D7"/>
    </sheetView>
  </sheetViews>
  <sheetFormatPr baseColWidth="10" defaultColWidth="8.7109375" defaultRowHeight="15"/>
  <cols>
    <col width="17.28515625" customWidth="1" style="44" min="1" max="2"/>
    <col width="42.140625" customWidth="1" style="44" min="3" max="3"/>
    <col width="10.5703125" customWidth="1" style="44" min="4" max="8"/>
    <col width="19.28515625" customWidth="1" min="9" max="9"/>
  </cols>
  <sheetData>
    <row r="3">
      <c r="I3" s="29" t="inlineStr">
        <is>
          <t>TOTAL Puro</t>
        </is>
      </c>
      <c r="J3" s="30" t="n"/>
      <c r="K3" s="30" t="n"/>
      <c r="L3" s="31" t="n"/>
      <c r="M3" s="30" t="n"/>
    </row>
    <row r="4">
      <c r="I4" s="41">
        <f>(SUM(I7:I1000)/60)*Ponderaciones!B16</f>
        <v/>
      </c>
      <c r="J4" s="74" t="n"/>
      <c r="K4" s="74" t="n"/>
      <c r="L4" s="74" t="n"/>
      <c r="M4" s="74" t="n"/>
    </row>
    <row r="5">
      <c r="J5" s="74" t="n"/>
      <c r="K5" s="74" t="n"/>
      <c r="L5" s="74" t="n"/>
      <c r="M5" s="74" t="n"/>
    </row>
    <row r="6">
      <c r="A6" s="45" t="inlineStr">
        <is>
          <t>Servicios</t>
        </is>
      </c>
      <c r="B6" s="46" t="inlineStr">
        <is>
          <t>SÍ</t>
        </is>
      </c>
      <c r="C6" s="46" t="inlineStr">
        <is>
          <t>DetalleRegistroApiService</t>
        </is>
      </c>
      <c r="D6" s="46" t="n">
        <v>3</v>
      </c>
      <c r="E6" s="46" t="n">
        <v>12</v>
      </c>
      <c r="F6" s="46" t="n">
        <v>0</v>
      </c>
      <c r="G6" s="47" t="n">
        <v>3</v>
      </c>
      <c r="H6" s="46" t="n">
        <v>0</v>
      </c>
      <c r="I6" s="42" t="n">
        <v>6</v>
      </c>
      <c r="J6" s="30" t="n"/>
      <c r="K6" s="30" t="n"/>
      <c r="L6" s="31" t="n"/>
      <c r="M6" s="30" t="n"/>
    </row>
    <row r="7">
      <c r="A7" s="50" t="inlineStr">
        <is>
          <t>Servicios</t>
        </is>
      </c>
      <c r="B7" s="50" t="inlineStr">
        <is>
          <t>SÍ</t>
        </is>
      </c>
      <c r="C7" s="50" t="inlineStr">
        <is>
          <t>DetalleRegistroStateService</t>
        </is>
      </c>
      <c r="D7" s="50" t="n">
        <v>3</v>
      </c>
      <c r="E7" s="50" t="n">
        <v>12</v>
      </c>
      <c r="F7" s="50" t="n">
        <v>0</v>
      </c>
      <c r="G7" s="50" t="n">
        <v>3</v>
      </c>
      <c r="H7" s="50" t="n">
        <v>0</v>
      </c>
      <c r="I7" s="43" t="n">
        <v>6</v>
      </c>
    </row>
    <row r="8">
      <c r="A8" s="50" t="inlineStr">
        <is>
          <t>Servicios</t>
        </is>
      </c>
      <c r="B8" s="50" t="inlineStr">
        <is>
          <t>SÍ</t>
        </is>
      </c>
      <c r="C8" s="50" t="inlineStr">
        <is>
          <t>DetalleRegistroPermisosService</t>
        </is>
      </c>
      <c r="D8" s="50" t="n">
        <v>3</v>
      </c>
      <c r="E8" s="50" t="n">
        <v>12</v>
      </c>
      <c r="F8" s="50" t="n">
        <v>0</v>
      </c>
      <c r="G8" s="50" t="n">
        <v>3</v>
      </c>
      <c r="H8" s="50" t="n">
        <v>0</v>
      </c>
      <c r="I8" s="43" t="n">
        <v>6</v>
      </c>
    </row>
    <row r="9">
      <c r="A9" s="50" t="inlineStr">
        <is>
          <t>Servicios</t>
        </is>
      </c>
      <c r="B9" s="50" t="inlineStr">
        <is>
          <t>SÍ</t>
        </is>
      </c>
      <c r="C9" s="50" t="inlineStr">
        <is>
          <t>DocumentosApiService</t>
        </is>
      </c>
      <c r="D9" s="50" t="n">
        <v>3</v>
      </c>
      <c r="E9" s="50" t="n">
        <v>12</v>
      </c>
      <c r="F9" s="50" t="n">
        <v>0</v>
      </c>
      <c r="G9" s="50" t="n">
        <v>3</v>
      </c>
      <c r="H9" s="50" t="n">
        <v>0</v>
      </c>
      <c r="I9" s="43" t="n">
        <v>6</v>
      </c>
    </row>
    <row r="10">
      <c r="A10" s="50" t="inlineStr">
        <is>
          <t>Servicios</t>
        </is>
      </c>
      <c r="B10" s="50" t="inlineStr">
        <is>
          <t>SÍ</t>
        </is>
      </c>
      <c r="C10" s="50" t="inlineStr">
        <is>
          <t>DocumentosGestorService</t>
        </is>
      </c>
      <c r="D10" s="50" t="n">
        <v>3</v>
      </c>
      <c r="E10" s="50" t="n">
        <v>12</v>
      </c>
      <c r="F10" s="50" t="n">
        <v>0</v>
      </c>
      <c r="G10" s="50" t="n">
        <v>3</v>
      </c>
      <c r="H10" s="50" t="n">
        <v>0</v>
      </c>
      <c r="I10" s="43" t="n">
        <v>6</v>
      </c>
    </row>
    <row r="11">
      <c r="A11" s="50" t="inlineStr">
        <is>
          <t>Componentes (TS)</t>
        </is>
      </c>
      <c r="B11" s="50" t="inlineStr">
        <is>
          <t>SÍ</t>
        </is>
      </c>
      <c r="C11" s="50" t="inlineStr">
        <is>
          <t>pero</t>
        </is>
      </c>
      <c r="D11" s="50" t="n">
        <v>8</v>
      </c>
      <c r="E11" s="50" t="n">
        <v>15</v>
      </c>
      <c r="F11" s="50" t="n">
        <v>10</v>
      </c>
      <c r="G11" s="50" t="n">
        <v>5</v>
      </c>
      <c r="H11" s="50" t="n">
        <v>12</v>
      </c>
      <c r="I11" s="43" t="n">
        <v>30</v>
      </c>
    </row>
    <row r="12">
      <c r="A12" s="50" t="inlineStr">
        <is>
          <t>Componentes (TS)</t>
        </is>
      </c>
      <c r="B12" s="50" t="inlineStr">
        <is>
          <t>SÍ</t>
        </is>
      </c>
      <c r="C12" s="50" t="inlineStr">
        <is>
          <t>Contenedor</t>
        </is>
      </c>
      <c r="D12" s="50" t="n">
        <v>8</v>
      </c>
      <c r="E12" s="50" t="n">
        <v>15</v>
      </c>
      <c r="F12" s="50" t="n">
        <v>10</v>
      </c>
      <c r="G12" s="50" t="n">
        <v>5</v>
      </c>
      <c r="H12" s="50" t="n">
        <v>12</v>
      </c>
      <c r="I12" s="43" t="n">
        <v>30</v>
      </c>
    </row>
    <row r="13">
      <c r="A13" s="50" t="inlineStr">
        <is>
          <t>Componentes (TS)</t>
        </is>
      </c>
      <c r="B13" s="50" t="inlineStr">
        <is>
          <t>SÍ</t>
        </is>
      </c>
      <c r="C13" s="50" t="inlineStr">
        <is>
          <t>Fase</t>
        </is>
      </c>
      <c r="D13" s="50" t="n">
        <v>8</v>
      </c>
      <c r="E13" s="50" t="n">
        <v>15</v>
      </c>
      <c r="F13" s="50" t="n">
        <v>10</v>
      </c>
      <c r="G13" s="50" t="n">
        <v>5</v>
      </c>
      <c r="H13" s="50" t="n">
        <v>12</v>
      </c>
      <c r="I13" s="43" t="n">
        <v>30</v>
      </c>
    </row>
    <row r="14">
      <c r="A14" s="50" t="inlineStr">
        <is>
          <t>Componentes (TS)</t>
        </is>
      </c>
      <c r="B14" s="50" t="inlineStr">
        <is>
          <t>SÍ</t>
        </is>
      </c>
      <c r="C14" s="50" t="inlineStr">
        <is>
          <t>DetalleRegistroPageComponent</t>
        </is>
      </c>
      <c r="D14" s="50" t="n">
        <v>8</v>
      </c>
      <c r="E14" s="50" t="n">
        <v>15</v>
      </c>
      <c r="F14" s="50" t="n">
        <v>10</v>
      </c>
      <c r="G14" s="50" t="n">
        <v>5</v>
      </c>
      <c r="H14" s="50" t="n">
        <v>12</v>
      </c>
      <c r="I14" s="43" t="n">
        <v>30</v>
      </c>
    </row>
    <row r="15">
      <c r="A15" s="50" t="inlineStr">
        <is>
          <t>Componentes (TS)</t>
        </is>
      </c>
      <c r="B15" s="50" t="inlineStr">
        <is>
          <t>SÍ</t>
        </is>
      </c>
      <c r="C15" s="50" t="inlineStr">
        <is>
          <t>DatosRegistroRdsComponent</t>
        </is>
      </c>
      <c r="D15" s="50" t="n">
        <v>8</v>
      </c>
      <c r="E15" s="50" t="n">
        <v>15</v>
      </c>
      <c r="F15" s="50" t="n">
        <v>10</v>
      </c>
      <c r="G15" s="50" t="n">
        <v>5</v>
      </c>
      <c r="H15" s="50" t="n">
        <v>12</v>
      </c>
      <c r="I15" s="43" t="n">
        <v>30</v>
      </c>
    </row>
    <row r="16">
      <c r="A16" s="50" t="inlineStr">
        <is>
          <t>Componentes (TS)</t>
        </is>
      </c>
      <c r="B16" s="50" t="inlineStr">
        <is>
          <t>SÍ</t>
        </is>
      </c>
      <c r="C16" s="50" t="inlineStr">
        <is>
          <t>DatosRegistroRdeComponent</t>
        </is>
      </c>
      <c r="D16" s="50" t="n">
        <v>8</v>
      </c>
      <c r="E16" s="50" t="n">
        <v>15</v>
      </c>
      <c r="F16" s="50" t="n">
        <v>10</v>
      </c>
      <c r="G16" s="50" t="n">
        <v>5</v>
      </c>
      <c r="H16" s="50" t="n">
        <v>12</v>
      </c>
      <c r="I16" s="43" t="n">
        <v>30</v>
      </c>
      <c r="J16" s="21" t="n"/>
    </row>
    <row r="17">
      <c r="A17" s="50" t="inlineStr">
        <is>
          <t>Componentes (TS)</t>
        </is>
      </c>
      <c r="B17" s="50" t="inlineStr">
        <is>
          <t>SÍ</t>
        </is>
      </c>
      <c r="C17" s="50" t="inlineStr">
        <is>
          <t>DestinoProcedenciaComponent</t>
        </is>
      </c>
      <c r="D17" s="50" t="n">
        <v>8</v>
      </c>
      <c r="E17" s="50" t="n">
        <v>15</v>
      </c>
      <c r="F17" s="50" t="n">
        <v>10</v>
      </c>
      <c r="G17" s="50" t="n">
        <v>5</v>
      </c>
      <c r="H17" s="50" t="n">
        <v>12</v>
      </c>
      <c r="I17" s="43" t="n">
        <v>30</v>
      </c>
      <c r="J17" s="21" t="n"/>
    </row>
    <row r="18">
      <c r="A18" s="50" t="inlineStr">
        <is>
          <t>Componentes (TS)</t>
        </is>
      </c>
      <c r="B18" s="50" t="inlineStr">
        <is>
          <t>SÍ</t>
        </is>
      </c>
      <c r="C18" s="50" t="inlineStr">
        <is>
          <t>TitularTablaComponent</t>
        </is>
      </c>
      <c r="D18" s="50" t="n">
        <v>8</v>
      </c>
      <c r="E18" s="50" t="n">
        <v>15</v>
      </c>
      <c r="F18" s="50" t="n">
        <v>10</v>
      </c>
      <c r="G18" s="50" t="n">
        <v>5</v>
      </c>
      <c r="H18" s="50" t="n">
        <v>12</v>
      </c>
      <c r="I18" s="43" t="n">
        <v>30</v>
      </c>
      <c r="J18" s="21" t="n"/>
    </row>
    <row r="19">
      <c r="A19" s="50" t="inlineStr">
        <is>
          <t>Componentes (TS)</t>
        </is>
      </c>
      <c r="B19" s="50" t="inlineStr">
        <is>
          <t>SÍ</t>
        </is>
      </c>
      <c r="C19" s="50" t="inlineStr">
        <is>
          <t>DocumentosTablaComponent</t>
        </is>
      </c>
      <c r="D19" s="50" t="n">
        <v>8</v>
      </c>
      <c r="E19" s="50" t="n">
        <v>15</v>
      </c>
      <c r="F19" s="50" t="n">
        <v>10</v>
      </c>
      <c r="G19" s="50" t="n">
        <v>5</v>
      </c>
      <c r="H19" s="50" t="n">
        <v>12</v>
      </c>
      <c r="I19" s="43" t="n">
        <v>30</v>
      </c>
      <c r="J19" s="21" t="n"/>
    </row>
    <row r="20">
      <c r="A20" s="50" t="inlineStr">
        <is>
          <t>Componentes (TS)</t>
        </is>
      </c>
      <c r="B20" s="50" t="inlineStr">
        <is>
          <t>SÍ</t>
        </is>
      </c>
      <c r="C20" s="50" t="inlineStr">
        <is>
          <t>HistoricoTablaComponent</t>
        </is>
      </c>
      <c r="D20" s="50" t="n">
        <v>8</v>
      </c>
      <c r="E20" s="50" t="n">
        <v>15</v>
      </c>
      <c r="F20" s="50" t="n">
        <v>10</v>
      </c>
      <c r="G20" s="50" t="n">
        <v>5</v>
      </c>
      <c r="H20" s="50" t="n">
        <v>12</v>
      </c>
      <c r="I20" s="43" t="n">
        <v>30</v>
      </c>
      <c r="J20" s="21" t="n"/>
    </row>
    <row r="21">
      <c r="A21" s="50" t="inlineStr">
        <is>
          <t>Componentes (TS)</t>
        </is>
      </c>
      <c r="B21" s="50" t="inlineStr">
        <is>
          <t>SÍ</t>
        </is>
      </c>
      <c r="C21" s="50" t="inlineStr">
        <is>
          <t>EditarAsuntoModalComponent</t>
        </is>
      </c>
      <c r="D21" s="50" t="n">
        <v>8</v>
      </c>
      <c r="E21" s="50" t="n">
        <v>15</v>
      </c>
      <c r="F21" s="50" t="n">
        <v>10</v>
      </c>
      <c r="G21" s="50" t="n">
        <v>5</v>
      </c>
      <c r="H21" s="50" t="n">
        <v>12</v>
      </c>
      <c r="I21" s="43" t="n">
        <v>30</v>
      </c>
      <c r="J21" s="21" t="n"/>
    </row>
    <row r="22">
      <c r="A22" s="50" t="inlineStr">
        <is>
          <t>Componentes (TS)</t>
        </is>
      </c>
      <c r="B22" s="50" t="inlineStr">
        <is>
          <t>SÍ</t>
        </is>
      </c>
      <c r="C22" s="50" t="inlineStr">
        <is>
          <t>EditarObservacionesModalComponent</t>
        </is>
      </c>
      <c r="D22" s="50" t="n">
        <v>8</v>
      </c>
      <c r="E22" s="50" t="n">
        <v>15</v>
      </c>
      <c r="F22" s="50" t="n">
        <v>10</v>
      </c>
      <c r="G22" s="50" t="n">
        <v>5</v>
      </c>
      <c r="H22" s="50" t="n">
        <v>12</v>
      </c>
      <c r="I22" s="43" t="n">
        <v>30</v>
      </c>
      <c r="J22" s="21" t="n"/>
    </row>
    <row r="23">
      <c r="A23" s="50" t="inlineStr">
        <is>
          <t>Componentes (TS)</t>
        </is>
      </c>
      <c r="B23" s="50" t="inlineStr">
        <is>
          <t>SÍ</t>
        </is>
      </c>
      <c r="C23" s="50" t="inlineStr">
        <is>
          <t>AsignarTecnicoModalComponent</t>
        </is>
      </c>
      <c r="D23" s="50" t="n">
        <v>8</v>
      </c>
      <c r="E23" s="50" t="n">
        <v>15</v>
      </c>
      <c r="F23" s="50" t="n">
        <v>10</v>
      </c>
      <c r="G23" s="50" t="n">
        <v>5</v>
      </c>
      <c r="H23" s="50" t="n">
        <v>12</v>
      </c>
      <c r="I23" s="43" t="n">
        <v>30</v>
      </c>
      <c r="J23" s="21" t="n"/>
    </row>
    <row r="24">
      <c r="A24" s="50" t="inlineStr">
        <is>
          <t>Componentes (TS)</t>
        </is>
      </c>
      <c r="B24" s="50" t="inlineStr">
        <is>
          <t>SÍ</t>
        </is>
      </c>
      <c r="C24" s="50" t="inlineStr">
        <is>
          <t>AsignarEtiquetasModalComponent</t>
        </is>
      </c>
      <c r="D24" s="50" t="n">
        <v>8</v>
      </c>
      <c r="E24" s="50" t="n">
        <v>15</v>
      </c>
      <c r="F24" s="50" t="n">
        <v>10</v>
      </c>
      <c r="G24" s="50" t="n">
        <v>5</v>
      </c>
      <c r="H24" s="50" t="n">
        <v>12</v>
      </c>
      <c r="I24" s="43" t="n">
        <v>30</v>
      </c>
      <c r="J24" s="21" t="n"/>
    </row>
    <row r="25">
      <c r="A25" s="50" t="inlineStr">
        <is>
          <t>Componentes (TS)</t>
        </is>
      </c>
      <c r="B25" s="50" t="inlineStr">
        <is>
          <t>SÍ</t>
        </is>
      </c>
      <c r="C25" s="50" t="inlineStr">
        <is>
          <t>CambiarTipoTransporteModalComponent</t>
        </is>
      </c>
      <c r="D25" s="50" t="n">
        <v>8</v>
      </c>
      <c r="E25" s="50" t="n">
        <v>15</v>
      </c>
      <c r="F25" s="50" t="n">
        <v>10</v>
      </c>
      <c r="G25" s="50" t="n">
        <v>5</v>
      </c>
      <c r="H25" s="50" t="n">
        <v>12</v>
      </c>
      <c r="I25" s="43" t="n">
        <v>30</v>
      </c>
      <c r="J25" s="21" t="n"/>
    </row>
    <row r="26">
      <c r="A26" s="50" t="n"/>
      <c r="B26" s="50" t="n"/>
      <c r="C26" s="50" t="n"/>
      <c r="D26" s="50" t="n"/>
      <c r="E26" s="50" t="n"/>
      <c r="F26" s="50" t="n"/>
      <c r="G26" s="50" t="n"/>
      <c r="H26" s="50" t="n"/>
      <c r="I26" s="43">
        <f>IF(COUNTIF(Tiempos[Tipo de Tarea], A26)=0, 0, SUMPRODUCT(INDEX(Tiempos[[Propiedad]:[Regla 
Negocio]], MATCH(A26, Tiempos[Tipo de Tarea], 0), 0), D26:H26)) * IFERROR(INDEX(Ponderaciones!B29:B30, MATCH(B26, Ponderaciones!A29:A30, 0)), 1)</f>
        <v/>
      </c>
      <c r="J26" s="21" t="n"/>
    </row>
    <row r="27">
      <c r="A27" s="50" t="n"/>
      <c r="B27" s="50" t="n"/>
      <c r="C27" s="50" t="n"/>
      <c r="D27" s="50" t="n"/>
      <c r="E27" s="50" t="n"/>
      <c r="F27" s="50" t="n"/>
      <c r="G27" s="50" t="n"/>
      <c r="H27" s="50" t="n"/>
      <c r="I27" s="43">
        <f>IF(COUNTIF(Tiempos[Tipo de Tarea], A27)=0, 0, SUMPRODUCT(INDEX(Tiempos[[Propiedad]:[Regla 
Negocio]], MATCH(A27, Tiempos[Tipo de Tarea], 0), 0), D27:H27)) * IFERROR(INDEX(Ponderaciones!B30:B31, MATCH(B27, Ponderaciones!A30:A31, 0)), 1)</f>
        <v/>
      </c>
      <c r="J27" s="21" t="n"/>
    </row>
    <row r="28">
      <c r="A28" s="50" t="n"/>
      <c r="B28" s="50" t="n"/>
      <c r="C28" s="50" t="n"/>
      <c r="D28" s="50" t="n"/>
      <c r="E28" s="50" t="n"/>
      <c r="F28" s="50" t="n"/>
      <c r="G28" s="50" t="n"/>
      <c r="H28" s="50" t="n"/>
      <c r="I28" s="43">
        <f>IF(COUNTIF(Tiempos[Tipo de Tarea], A28)=0, 0, SUMPRODUCT(INDEX(Tiempos[[Propiedad]:[Regla 
Negocio]], MATCH(A28, Tiempos[Tipo de Tarea], 0), 0), D28:H28)) * IFERROR(INDEX(Ponderaciones!B32:B33, MATCH(B28, Ponderaciones!A32:A33, 0)), 1)</f>
        <v/>
      </c>
      <c r="J28" s="21" t="n"/>
    </row>
    <row r="29">
      <c r="A29" s="50" t="n"/>
      <c r="B29" s="50" t="n"/>
      <c r="C29" s="50" t="n"/>
      <c r="D29" s="50" t="n"/>
      <c r="E29" s="50" t="n"/>
      <c r="F29" s="50" t="n"/>
      <c r="G29" s="50" t="n"/>
      <c r="H29" s="50" t="n"/>
      <c r="I29" s="43">
        <f>IF(COUNTIF(Tiempos[Tipo de Tarea], A29)=0, 0, SUMPRODUCT(INDEX(Tiempos[[Propiedad]:[Regla 
Negocio]], MATCH(A29, Tiempos[Tipo de Tarea], 0), 0), D29:H29)) * IFERROR(INDEX(Ponderaciones!B33:B34, MATCH(B29, Ponderaciones!A33:A34, 0)), 1)</f>
        <v/>
      </c>
      <c r="J29" s="21" t="n"/>
    </row>
    <row r="30">
      <c r="A30" s="50" t="n"/>
      <c r="B30" s="50" t="n"/>
      <c r="C30" s="50" t="n"/>
      <c r="D30" s="50" t="n"/>
      <c r="E30" s="50" t="n"/>
      <c r="F30" s="50" t="n"/>
      <c r="G30" s="50" t="n"/>
      <c r="H30" s="50" t="n"/>
      <c r="I30" s="43">
        <f>IF(COUNTIF(Tiempos[Tipo de Tarea], A30)=0, 0, SUMPRODUCT(INDEX(Tiempos[[Propiedad]:[Regla 
Negocio]], MATCH(A30, Tiempos[Tipo de Tarea], 0), 0), D30:H30)) * IFERROR(INDEX(Ponderaciones!B33:B34, MATCH(B30, Ponderaciones!A33:A34, 0)), 1)</f>
        <v/>
      </c>
      <c r="J30" s="21" t="n"/>
    </row>
    <row r="31">
      <c r="A31" s="50" t="n"/>
      <c r="B31" s="50" t="n"/>
      <c r="C31" s="50" t="n"/>
      <c r="D31" s="50" t="n"/>
      <c r="E31" s="50" t="n"/>
      <c r="F31" s="50" t="n"/>
      <c r="G31" s="50" t="n"/>
      <c r="H31" s="50" t="n"/>
      <c r="I31" s="43">
        <f>IF(COUNTIF(Tiempos[Tipo de Tarea], A31)=0, 0, SUMPRODUCT(INDEX(Tiempos[[Propiedad]:[Regla 
Negocio]], MATCH(A31, Tiempos[Tipo de Tarea], 0), 0), D31:H31)) * IFERROR(INDEX(Ponderaciones!B34:B35, MATCH(B31, Ponderaciones!A34:A35, 0)), 1)</f>
        <v/>
      </c>
      <c r="J31" s="21" t="n"/>
    </row>
    <row r="32">
      <c r="A32" s="50" t="n"/>
      <c r="B32" s="50" t="n"/>
      <c r="C32" s="50" t="n"/>
      <c r="D32" s="50" t="n"/>
      <c r="E32" s="50" t="n"/>
      <c r="F32" s="50" t="n"/>
      <c r="G32" s="50" t="n"/>
      <c r="H32" s="50" t="n"/>
      <c r="I32" s="43">
        <f>IF(COUNTIF(Tiempos[Tipo de Tarea], A32)=0, 0, SUMPRODUCT(INDEX(Tiempos[[Propiedad]:[Regla 
Negocio]], MATCH(A32, Tiempos[Tipo de Tarea], 0), 0), D32:H32)) * IFERROR(INDEX(Ponderaciones!B36:B37, MATCH(B32, Ponderaciones!A36:A37, 0)), 1)</f>
        <v/>
      </c>
      <c r="J32" s="21" t="n"/>
    </row>
    <row r="33">
      <c r="A33" s="50" t="n"/>
      <c r="B33" s="50" t="n"/>
      <c r="C33" s="50" t="n"/>
      <c r="D33" s="50" t="n"/>
      <c r="E33" s="50" t="n"/>
      <c r="F33" s="50" t="n"/>
      <c r="G33" s="50" t="n"/>
      <c r="H33" s="50" t="n"/>
      <c r="I33" s="43">
        <f>IF(COUNTIF(Tiempos[Tipo de Tarea], A33)=0, 0, SUMPRODUCT(INDEX(Tiempos[[Propiedad]:[Regla 
Negocio]], MATCH(A33, Tiempos[Tipo de Tarea], 0), 0), D33:H33)) * IFERROR(INDEX(Ponderaciones!B37:B38, MATCH(B33, Ponderaciones!A37:A38, 0)), 1)</f>
        <v/>
      </c>
      <c r="J33" s="21" t="n"/>
    </row>
    <row r="34">
      <c r="A34" s="50" t="n"/>
      <c r="B34" s="50" t="n"/>
      <c r="C34" s="50" t="n"/>
      <c r="D34" s="50" t="n"/>
      <c r="E34" s="50" t="n"/>
      <c r="F34" s="50" t="n"/>
      <c r="G34" s="50" t="n"/>
      <c r="H34" s="50" t="n"/>
      <c r="I34" s="43">
        <f>IF(COUNTIF(Tiempos[Tipo de Tarea], A34)=0, 0, SUMPRODUCT(INDEX(Tiempos[[Propiedad]:[Regla 
Negocio]], MATCH(A34, Tiempos[Tipo de Tarea], 0), 0), D34:H34)) * IFERROR(INDEX(Ponderaciones!B37:B38, MATCH(B34, Ponderaciones!A37:A38, 0)), 1)</f>
        <v/>
      </c>
      <c r="J34" s="21" t="n"/>
    </row>
    <row r="35">
      <c r="A35" s="50" t="n"/>
      <c r="B35" s="50" t="n"/>
      <c r="C35" s="50" t="n"/>
      <c r="D35" s="50" t="n"/>
      <c r="E35" s="50" t="n"/>
      <c r="F35" s="50" t="n"/>
      <c r="G35" s="50" t="n"/>
      <c r="H35" s="50" t="n"/>
      <c r="I35" s="43">
        <f>IF(COUNTIF(Tiempos[Tipo de Tarea], A35)=0, 0, SUMPRODUCT(INDEX(Tiempos[[Propiedad]:[Regla 
Negocio]], MATCH(A35, Tiempos[Tipo de Tarea], 0), 0), D35:H35)) * IFERROR(INDEX(Ponderaciones!B38:B39, MATCH(B35, Ponderaciones!A38:A39, 0)), 1)</f>
        <v/>
      </c>
      <c r="J35" s="21" t="n"/>
    </row>
    <row r="36">
      <c r="A36" s="50" t="n"/>
      <c r="B36" s="50" t="n"/>
      <c r="C36" s="50" t="n"/>
      <c r="D36" s="50" t="n"/>
      <c r="E36" s="50" t="n"/>
      <c r="F36" s="50" t="n"/>
      <c r="G36" s="50" t="n"/>
      <c r="H36" s="50" t="n"/>
      <c r="I36" s="43">
        <f>IF(COUNTIF(Tiempos[Tipo de Tarea], A36)=0, 0, SUMPRODUCT(INDEX(Tiempos[[Propiedad]:[Regla 
Negocio]], MATCH(A36, Tiempos[Tipo de Tarea], 0), 0), D36:H36)) * IFERROR(INDEX(Ponderaciones!B40:B41, MATCH(B36, Ponderaciones!A40:A41, 0)), 1)</f>
        <v/>
      </c>
      <c r="J36" s="21" t="n"/>
    </row>
    <row r="37">
      <c r="A37" s="50" t="n"/>
      <c r="B37" s="50" t="n"/>
      <c r="C37" s="50" t="n"/>
      <c r="D37" s="50" t="n"/>
      <c r="E37" s="50" t="n"/>
      <c r="F37" s="50" t="n"/>
      <c r="G37" s="50" t="n"/>
      <c r="H37" s="50" t="n"/>
      <c r="I37" s="43">
        <f>IF(COUNTIF(Tiempos[Tipo de Tarea], A37)=0, 0, SUMPRODUCT(INDEX(Tiempos[[Propiedad]:[Regla 
Negocio]], MATCH(A37, Tiempos[Tipo de Tarea], 0), 0), D37:H37)) * IFERROR(INDEX(Ponderaciones!B41:B42, MATCH(B37, Ponderaciones!A41:A42, 0)), 1)</f>
        <v/>
      </c>
      <c r="J37" s="21" t="n"/>
    </row>
    <row r="38">
      <c r="A38" s="50" t="n"/>
      <c r="B38" s="50" t="n"/>
      <c r="C38" s="50" t="n"/>
      <c r="D38" s="50" t="n"/>
      <c r="E38" s="50" t="n"/>
      <c r="F38" s="50" t="n"/>
      <c r="G38" s="50" t="n"/>
      <c r="H38" s="50" t="n"/>
      <c r="I38" s="43">
        <f>IF(COUNTIF(Tiempos[Tipo de Tarea], A38)=0, 0, SUMPRODUCT(INDEX(Tiempos[[Propiedad]:[Regla 
Negocio]], MATCH(A38, Tiempos[Tipo de Tarea], 0), 0), D38:H38)) * IFERROR(INDEX(Ponderaciones!B41:B42, MATCH(B38, Ponderaciones!A41:A42, 0)), 1)</f>
        <v/>
      </c>
      <c r="J38" s="21" t="n"/>
    </row>
    <row r="39">
      <c r="A39" s="50" t="n"/>
      <c r="B39" s="50" t="n"/>
      <c r="C39" s="50" t="n"/>
      <c r="D39" s="50" t="n"/>
      <c r="E39" s="50" t="n"/>
      <c r="F39" s="50" t="n"/>
      <c r="G39" s="50" t="n"/>
      <c r="H39" s="50" t="n"/>
      <c r="I39" s="43">
        <f>IF(COUNTIF(Tiempos[Tipo de Tarea], A39)=0, 0, SUMPRODUCT(INDEX(Tiempos[[Propiedad]:[Regla 
Negocio]], MATCH(A39, Tiempos[Tipo de Tarea], 0), 0), D39:H39)) * IFERROR(INDEX(Ponderaciones!B42:B43, MATCH(B39, Ponderaciones!A42:A43, 0)), 1)</f>
        <v/>
      </c>
      <c r="J39" s="21" t="n"/>
    </row>
    <row r="40">
      <c r="A40" s="50" t="n"/>
      <c r="B40" s="50" t="n"/>
      <c r="C40" s="50" t="n"/>
      <c r="D40" s="50" t="n"/>
      <c r="E40" s="50" t="n"/>
      <c r="F40" s="50" t="n"/>
      <c r="G40" s="50" t="n"/>
      <c r="H40" s="50" t="n"/>
      <c r="I40" s="43">
        <f>IF(COUNTIF(Tiempos[Tipo de Tarea], A40)=0, 0, SUMPRODUCT(INDEX(Tiempos[[Propiedad]:[Regla 
Negocio]], MATCH(A40, Tiempos[Tipo de Tarea], 0), 0), D40:H40)) * IFERROR(INDEX(Ponderaciones!B44:B45, MATCH(B40, Ponderaciones!A44:A45, 0)), 1)</f>
        <v/>
      </c>
      <c r="J40" s="21" t="n"/>
    </row>
    <row r="41">
      <c r="A41" s="50" t="n"/>
      <c r="B41" s="50" t="n"/>
      <c r="C41" s="50" t="n"/>
      <c r="D41" s="50" t="n"/>
      <c r="E41" s="50" t="n"/>
      <c r="F41" s="50" t="n"/>
      <c r="G41" s="50" t="n"/>
      <c r="H41" s="50" t="n"/>
      <c r="I41" s="43">
        <f>IF(COUNTIF(Tiempos[Tipo de Tarea], A41)=0, 0, SUMPRODUCT(INDEX(Tiempos[[Propiedad]:[Regla 
Negocio]], MATCH(A41, Tiempos[Tipo de Tarea], 0), 0), D41:H41)) * IFERROR(INDEX(Ponderaciones!B45:B46, MATCH(B41, Ponderaciones!A45:A46, 0)), 1)</f>
        <v/>
      </c>
      <c r="J41" s="21" t="n"/>
    </row>
    <row r="42">
      <c r="A42" s="50" t="n"/>
      <c r="B42" s="50" t="n"/>
      <c r="C42" s="50" t="n"/>
      <c r="D42" s="50" t="n"/>
      <c r="E42" s="50" t="n"/>
      <c r="F42" s="50" t="n"/>
      <c r="G42" s="50" t="n"/>
      <c r="H42" s="50" t="n"/>
      <c r="I42" s="43">
        <f>IF(COUNTIF(Tiempos[Tipo de Tarea], A42)=0, 0, SUMPRODUCT(INDEX(Tiempos[[Propiedad]:[Regla 
Negocio]], MATCH(A42, Tiempos[Tipo de Tarea], 0), 0), D42:H42)) * IFERROR(INDEX(Ponderaciones!B45:B46, MATCH(B42, Ponderaciones!A45:A46, 0)), 1)</f>
        <v/>
      </c>
      <c r="J42" s="21" t="n"/>
    </row>
    <row r="43">
      <c r="A43" s="50" t="n"/>
      <c r="B43" s="50" t="n"/>
      <c r="C43" s="50" t="n"/>
      <c r="D43" s="50" t="n"/>
      <c r="E43" s="50" t="n"/>
      <c r="F43" s="50" t="n"/>
      <c r="G43" s="50" t="n"/>
      <c r="H43" s="50" t="n"/>
      <c r="I43" s="43">
        <f>IF(COUNTIF(Tiempos[Tipo de Tarea], A43)=0, 0, SUMPRODUCT(INDEX(Tiempos[[Propiedad]:[Regla 
Negocio]], MATCH(A43, Tiempos[Tipo de Tarea], 0), 0), D43:H43)) * IFERROR(INDEX(Ponderaciones!B46:B47, MATCH(B43, Ponderaciones!A46:A47, 0)), 1)</f>
        <v/>
      </c>
      <c r="J43" s="21" t="n"/>
    </row>
    <row r="44">
      <c r="A44" s="50" t="n"/>
      <c r="B44" s="50" t="n"/>
      <c r="C44" s="50" t="n"/>
      <c r="D44" s="50" t="n"/>
      <c r="E44" s="50" t="n"/>
      <c r="F44" s="50" t="n"/>
      <c r="G44" s="50" t="n"/>
      <c r="H44" s="50" t="n"/>
      <c r="I44" s="43">
        <f>IF(COUNTIF(Tiempos[Tipo de Tarea], A44)=0, 0, SUMPRODUCT(INDEX(Tiempos[[Propiedad]:[Regla 
Negocio]], MATCH(A44, Tiempos[Tipo de Tarea], 0), 0), D44:H44)) * IFERROR(INDEX(Ponderaciones!B48:B49, MATCH(B44, Ponderaciones!A48:A49, 0)), 1)</f>
        <v/>
      </c>
      <c r="J44" s="21" t="n"/>
    </row>
    <row r="45">
      <c r="A45" s="50" t="n"/>
      <c r="B45" s="50" t="n"/>
      <c r="C45" s="50" t="n"/>
      <c r="D45" s="50" t="n"/>
      <c r="E45" s="50" t="n"/>
      <c r="F45" s="50" t="n"/>
      <c r="G45" s="50" t="n"/>
      <c r="H45" s="50" t="n"/>
      <c r="I45" s="43">
        <f>IF(COUNTIF(Tiempos[Tipo de Tarea], A45)=0, 0, SUMPRODUCT(INDEX(Tiempos[[Propiedad]:[Regla 
Negocio]], MATCH(A45, Tiempos[Tipo de Tarea], 0), 0), D45:H45)) * IFERROR(INDEX(Ponderaciones!B49:B50, MATCH(B45, Ponderaciones!A49:A50, 0)), 1)</f>
        <v/>
      </c>
      <c r="J45" s="21" t="n"/>
    </row>
    <row r="46">
      <c r="A46" s="50" t="n"/>
      <c r="B46" s="50" t="n"/>
      <c r="C46" s="50" t="n"/>
      <c r="D46" s="50" t="n"/>
      <c r="E46" s="50" t="n"/>
      <c r="F46" s="50" t="n"/>
      <c r="G46" s="50" t="n"/>
      <c r="H46" s="50" t="n"/>
      <c r="I46" s="43">
        <f>IF(COUNTIF(Tiempos[Tipo de Tarea], A46)=0, 0, SUMPRODUCT(INDEX(Tiempos[[Propiedad]:[Regla 
Negocio]], MATCH(A46, Tiempos[Tipo de Tarea], 0), 0), D46:H46)) * IFERROR(INDEX(Ponderaciones!B49:B50, MATCH(B46, Ponderaciones!A49:A50, 0)), 1)</f>
        <v/>
      </c>
      <c r="J46" s="21" t="n"/>
    </row>
    <row r="47">
      <c r="A47" s="50" t="n"/>
      <c r="B47" s="50" t="n"/>
      <c r="C47" s="50" t="n"/>
      <c r="D47" s="50" t="n"/>
      <c r="E47" s="50" t="n"/>
      <c r="F47" s="50" t="n"/>
      <c r="G47" s="50" t="n"/>
      <c r="H47" s="50" t="n"/>
      <c r="I47" s="43">
        <f>IF(COUNTIF(Tiempos[Tipo de Tarea], A47)=0, 0, SUMPRODUCT(INDEX(Tiempos[[Propiedad]:[Regla 
Negocio]], MATCH(A47, Tiempos[Tipo de Tarea], 0), 0), D47:H47)) * IFERROR(INDEX(Ponderaciones!B50:B51, MATCH(B47, Ponderaciones!A50:A51, 0)), 1)</f>
        <v/>
      </c>
      <c r="J47" s="21" t="n"/>
    </row>
    <row r="48">
      <c r="A48" s="50" t="n"/>
      <c r="B48" s="50" t="n"/>
      <c r="C48" s="50" t="n"/>
      <c r="D48" s="50" t="n"/>
      <c r="E48" s="50" t="n"/>
      <c r="F48" s="50" t="n"/>
      <c r="G48" s="50" t="n"/>
      <c r="H48" s="50" t="n"/>
      <c r="I48" s="43">
        <f>IF(COUNTIF(Tiempos[Tipo de Tarea], A48)=0, 0, SUMPRODUCT(INDEX(Tiempos[[Propiedad]:[Regla 
Negocio]], MATCH(A48, Tiempos[Tipo de Tarea], 0), 0), D48:H48)) * IFERROR(INDEX(Ponderaciones!B52:B53, MATCH(B48, Ponderaciones!A52:A53, 0)), 1)</f>
        <v/>
      </c>
      <c r="J48" s="21" t="n"/>
    </row>
    <row r="49">
      <c r="A49" s="50" t="n"/>
      <c r="B49" s="50" t="n"/>
      <c r="C49" s="50" t="n"/>
      <c r="D49" s="50" t="n"/>
      <c r="E49" s="50" t="n"/>
      <c r="F49" s="50" t="n"/>
      <c r="G49" s="50" t="n"/>
      <c r="H49" s="50" t="n"/>
      <c r="I49" s="43">
        <f>IF(COUNTIF(Tiempos[Tipo de Tarea], A49)=0, 0, SUMPRODUCT(INDEX(Tiempos[[Propiedad]:[Regla 
Negocio]], MATCH(A49, Tiempos[Tipo de Tarea], 0), 0), D49:H49)) * IFERROR(INDEX(Ponderaciones!B53:B54, MATCH(B49, Ponderaciones!A53:A54, 0)), 1)</f>
        <v/>
      </c>
      <c r="J49" s="21" t="n"/>
    </row>
    <row r="50">
      <c r="A50" s="50" t="n"/>
      <c r="B50" s="50" t="n"/>
      <c r="C50" s="50" t="n"/>
      <c r="D50" s="50" t="n"/>
      <c r="E50" s="50" t="n"/>
      <c r="F50" s="50" t="n"/>
      <c r="G50" s="50" t="n"/>
      <c r="H50" s="50" t="n"/>
      <c r="I50" s="43">
        <f>IF(COUNTIF(Tiempos[Tipo de Tarea], A50)=0, 0, SUMPRODUCT(INDEX(Tiempos[[Propiedad]:[Regla 
Negocio]], MATCH(A50, Tiempos[Tipo de Tarea], 0), 0), D50:H50)) * IFERROR(INDEX(Ponderaciones!B53:B54, MATCH(B50, Ponderaciones!A53:A54, 0)), 1)</f>
        <v/>
      </c>
      <c r="J50" s="21" t="n"/>
    </row>
    <row r="51">
      <c r="A51" s="50" t="n"/>
      <c r="B51" s="50" t="n"/>
      <c r="C51" s="50" t="n"/>
      <c r="D51" s="50" t="n"/>
      <c r="E51" s="50" t="n"/>
      <c r="F51" s="50" t="n"/>
      <c r="G51" s="50" t="n"/>
      <c r="H51" s="50" t="n"/>
      <c r="I51" s="43">
        <f>IF(COUNTIF(Tiempos[Tipo de Tarea], A51)=0, 0, SUMPRODUCT(INDEX(Tiempos[[Propiedad]:[Regla 
Negocio]], MATCH(A51, Tiempos[Tipo de Tarea], 0), 0), D51:H51)) * IFERROR(INDEX(Ponderaciones!B54:B55, MATCH(B51, Ponderaciones!A54:A55, 0)), 1)</f>
        <v/>
      </c>
      <c r="J51" s="21" t="n"/>
    </row>
    <row r="52">
      <c r="A52" s="50" t="n"/>
      <c r="B52" s="50" t="n"/>
      <c r="C52" s="50" t="n"/>
      <c r="D52" s="50" t="n"/>
      <c r="E52" s="50" t="n"/>
      <c r="F52" s="50" t="n"/>
      <c r="G52" s="50" t="n"/>
      <c r="H52" s="50" t="n"/>
      <c r="I52" s="43">
        <f>IF(COUNTIF(Tiempos[Tipo de Tarea], A52)=0, 0, SUMPRODUCT(INDEX(Tiempos[[Propiedad]:[Regla 
Negocio]], MATCH(A52, Tiempos[Tipo de Tarea], 0), 0), D52:H52)) * IFERROR(INDEX(Ponderaciones!B56:B57, MATCH(B52, Ponderaciones!A56:A57, 0)), 1)</f>
        <v/>
      </c>
      <c r="J52" s="21" t="n"/>
    </row>
    <row r="53">
      <c r="A53" s="50" t="n"/>
      <c r="B53" s="50" t="n"/>
      <c r="C53" s="50" t="n"/>
      <c r="D53" s="50" t="n"/>
      <c r="E53" s="50" t="n"/>
      <c r="F53" s="50" t="n"/>
      <c r="G53" s="50" t="n"/>
      <c r="H53" s="50" t="n"/>
      <c r="I53" s="43">
        <f>IF(COUNTIF(Tiempos[Tipo de Tarea], A53)=0, 0, SUMPRODUCT(INDEX(Tiempos[[Propiedad]:[Regla 
Negocio]], MATCH(A53, Tiempos[Tipo de Tarea], 0), 0), D53:H53)) * IFERROR(INDEX(Ponderaciones!B57:B58, MATCH(B53, Ponderaciones!A57:A58, 0)), 1)</f>
        <v/>
      </c>
      <c r="J53" s="21" t="n"/>
    </row>
    <row r="54">
      <c r="A54" s="50" t="n"/>
      <c r="B54" s="50" t="n"/>
      <c r="C54" s="50" t="n"/>
      <c r="D54" s="50" t="n"/>
      <c r="E54" s="50" t="n"/>
      <c r="F54" s="50" t="n"/>
      <c r="G54" s="50" t="n"/>
      <c r="H54" s="50" t="n"/>
      <c r="I54" s="43">
        <f>IF(COUNTIF(Tiempos[Tipo de Tarea], A54)=0, 0, SUMPRODUCT(INDEX(Tiempos[[Propiedad]:[Regla 
Negocio]], MATCH(A54, Tiempos[Tipo de Tarea], 0), 0), D54:H54)) * IFERROR(INDEX(Ponderaciones!B57:B58, MATCH(B54, Ponderaciones!A57:A58, 0)), 1)</f>
        <v/>
      </c>
      <c r="J54" s="21" t="n"/>
    </row>
    <row r="55">
      <c r="A55" s="50" t="n"/>
      <c r="B55" s="50" t="n"/>
      <c r="C55" s="50" t="n"/>
      <c r="D55" s="50" t="n"/>
      <c r="E55" s="50" t="n"/>
      <c r="F55" s="50" t="n"/>
      <c r="G55" s="50" t="n"/>
      <c r="H55" s="50" t="n"/>
      <c r="I55" s="43">
        <f>IF(COUNTIF(Tiempos[Tipo de Tarea], A55)=0, 0, SUMPRODUCT(INDEX(Tiempos[[Propiedad]:[Regla 
Negocio]], MATCH(A55, Tiempos[Tipo de Tarea], 0), 0), D55:H55)) * IFERROR(INDEX(Ponderaciones!B58:B59, MATCH(B55, Ponderaciones!A58:A59, 0)), 1)</f>
        <v/>
      </c>
      <c r="J55" s="21" t="n"/>
    </row>
    <row r="56">
      <c r="A56" s="50" t="n"/>
      <c r="B56" s="50" t="n"/>
      <c r="C56" s="50" t="n"/>
      <c r="D56" s="50" t="n"/>
      <c r="E56" s="50" t="n"/>
      <c r="F56" s="50" t="n"/>
      <c r="G56" s="50" t="n"/>
      <c r="H56" s="50" t="n"/>
      <c r="I56" s="43">
        <f>IF(COUNTIF(Tiempos[Tipo de Tarea], A56)=0, 0, SUMPRODUCT(INDEX(Tiempos[[Propiedad]:[Regla 
Negocio]], MATCH(A56, Tiempos[Tipo de Tarea], 0), 0), D56:H56)) * IFERROR(INDEX(Ponderaciones!B60:B61, MATCH(B56, Ponderaciones!A60:A61, 0)), 1)</f>
        <v/>
      </c>
      <c r="J56" s="21" t="n"/>
    </row>
    <row r="57">
      <c r="A57" s="50" t="n"/>
      <c r="B57" s="50" t="n"/>
      <c r="C57" s="50" t="n"/>
      <c r="D57" s="50" t="n"/>
      <c r="E57" s="50" t="n"/>
      <c r="F57" s="50" t="n"/>
      <c r="G57" s="50" t="n"/>
      <c r="H57" s="50" t="n"/>
      <c r="I57" s="43">
        <f>IF(COUNTIF(Tiempos[Tipo de Tarea], A57)=0, 0, SUMPRODUCT(INDEX(Tiempos[[Propiedad]:[Regla 
Negocio]], MATCH(A57, Tiempos[Tipo de Tarea], 0), 0), D57:H57)) * IFERROR(INDEX(Ponderaciones!B61:B62, MATCH(B57, Ponderaciones!A61:A62, 0)), 1)</f>
        <v/>
      </c>
      <c r="J57" s="21" t="n"/>
    </row>
    <row r="58">
      <c r="A58" s="50" t="n"/>
      <c r="B58" s="50" t="n"/>
      <c r="C58" s="50" t="n"/>
      <c r="D58" s="50" t="n"/>
      <c r="E58" s="50" t="n"/>
      <c r="F58" s="50" t="n"/>
      <c r="G58" s="50" t="n"/>
      <c r="H58" s="50" t="n"/>
      <c r="I58" s="43">
        <f>IF(COUNTIF(Tiempos[Tipo de Tarea], A58)=0, 0, SUMPRODUCT(INDEX(Tiempos[[Propiedad]:[Regla 
Negocio]], MATCH(A58, Tiempos[Tipo de Tarea], 0), 0), D58:H58)) * IFERROR(INDEX(Ponderaciones!B61:B62, MATCH(B58, Ponderaciones!A61:A62, 0)), 1)</f>
        <v/>
      </c>
      <c r="J58" s="21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43">
        <f>IF(COUNTIF(Tiempos[Tipo de Tarea], A59)=0, 0, SUMPRODUCT(INDEX(Tiempos[[Propiedad]:[Regla 
Negocio]], MATCH(A59, Tiempos[Tipo de Tarea], 0), 0), D59:H59)) * IFERROR(INDEX(Ponderaciones!B62:B63, MATCH(B59, Ponderaciones!A62:A63, 0)), 1)</f>
        <v/>
      </c>
      <c r="J59" s="21" t="n"/>
    </row>
    <row r="60">
      <c r="A60" s="50" t="n"/>
      <c r="B60" s="50" t="n"/>
      <c r="C60" s="50" t="n"/>
      <c r="D60" s="50" t="n"/>
      <c r="E60" s="50" t="n"/>
      <c r="F60" s="50" t="n"/>
      <c r="G60" s="50" t="n"/>
      <c r="H60" s="50" t="n"/>
      <c r="I60" s="43">
        <f>IF(COUNTIF(Tiempos[Tipo de Tarea], A60)=0, 0, SUMPRODUCT(INDEX(Tiempos[[Propiedad]:[Regla 
Negocio]], MATCH(A60, Tiempos[Tipo de Tarea], 0), 0), D60:H60)) * IFERROR(INDEX(Ponderaciones!B64:B65, MATCH(B60, Ponderaciones!A64:A65, 0)), 1)</f>
        <v/>
      </c>
      <c r="J60" s="21" t="n"/>
    </row>
    <row r="6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43">
        <f>IF(COUNTIF(Tiempos[Tipo de Tarea], A61)=0, 0, SUMPRODUCT(INDEX(Tiempos[[Propiedad]:[Regla 
Negocio]], MATCH(A61, Tiempos[Tipo de Tarea], 0), 0), D61:H61)) * IFERROR(INDEX(Ponderaciones!B65:B66, MATCH(B61, Ponderaciones!A65:A66, 0)), 1)</f>
        <v/>
      </c>
      <c r="J61" s="21" t="n"/>
    </row>
    <row r="62">
      <c r="A62" s="50" t="n"/>
      <c r="B62" s="50" t="n"/>
      <c r="C62" s="50" t="n"/>
      <c r="D62" s="50" t="n"/>
      <c r="E62" s="50" t="n"/>
      <c r="F62" s="50" t="n"/>
      <c r="G62" s="50" t="n"/>
      <c r="H62" s="50" t="n"/>
      <c r="I62" s="43">
        <f>IF(COUNTIF(Tiempos[Tipo de Tarea], A62)=0, 0, SUMPRODUCT(INDEX(Tiempos[[Propiedad]:[Regla 
Negocio]], MATCH(A62, Tiempos[Tipo de Tarea], 0), 0), D62:H62)) * IFERROR(INDEX(Ponderaciones!B65:B66, MATCH(B62, Ponderaciones!A65:A66, 0)), 1)</f>
        <v/>
      </c>
      <c r="J62" s="21" t="n"/>
    </row>
    <row r="63">
      <c r="A63" s="50" t="n"/>
      <c r="B63" s="50" t="n"/>
      <c r="C63" s="50" t="n"/>
      <c r="D63" s="50" t="n"/>
      <c r="E63" s="50" t="n"/>
      <c r="F63" s="50" t="n"/>
      <c r="G63" s="50" t="n"/>
      <c r="H63" s="50" t="n"/>
      <c r="I63" s="43">
        <f>IF(COUNTIF(Tiempos[Tipo de Tarea], A63)=0, 0, SUMPRODUCT(INDEX(Tiempos[[Propiedad]:[Regla 
Negocio]], MATCH(A63, Tiempos[Tipo de Tarea], 0), 0), D63:H63)) * IFERROR(INDEX(Ponderaciones!B66:B67, MATCH(B63, Ponderaciones!A66:A67, 0)), 1)</f>
        <v/>
      </c>
      <c r="J63" s="21" t="n"/>
    </row>
    <row r="64">
      <c r="A64" s="50" t="n"/>
      <c r="B64" s="50" t="n"/>
      <c r="C64" s="50" t="n"/>
      <c r="D64" s="50" t="n"/>
      <c r="E64" s="50" t="n"/>
      <c r="F64" s="50" t="n"/>
      <c r="G64" s="50" t="n"/>
      <c r="H64" s="50" t="n"/>
      <c r="I64" s="43">
        <f>IF(COUNTIF(Tiempos[Tipo de Tarea], A64)=0, 0, SUMPRODUCT(INDEX(Tiempos[[Propiedad]:[Regla 
Negocio]], MATCH(A64, Tiempos[Tipo de Tarea], 0), 0), D64:H64)) * IFERROR(INDEX(Ponderaciones!B68:B69, MATCH(B64, Ponderaciones!A68:A69, 0)), 1)</f>
        <v/>
      </c>
      <c r="J64" s="21" t="n"/>
    </row>
    <row r="65">
      <c r="A65" s="50" t="n"/>
      <c r="B65" s="50" t="n"/>
      <c r="C65" s="50" t="n"/>
      <c r="D65" s="50" t="n"/>
      <c r="E65" s="50" t="n"/>
      <c r="F65" s="50" t="n"/>
      <c r="G65" s="50" t="n"/>
      <c r="H65" s="50" t="n"/>
      <c r="I65" s="43">
        <f>IF(COUNTIF(Tiempos[Tipo de Tarea], A65)=0, 0, SUMPRODUCT(INDEX(Tiempos[[Propiedad]:[Regla 
Negocio]], MATCH(A65, Tiempos[Tipo de Tarea], 0), 0), D65:H65)) * IFERROR(INDEX(Ponderaciones!B69:B70, MATCH(B65, Ponderaciones!A69:A70, 0)), 1)</f>
        <v/>
      </c>
    </row>
    <row r="66">
      <c r="A66" s="50" t="n"/>
      <c r="B66" s="50" t="n"/>
      <c r="C66" s="50" t="n"/>
      <c r="D66" s="50" t="n"/>
      <c r="E66" s="50" t="n"/>
      <c r="F66" s="50" t="n"/>
      <c r="G66" s="50" t="n"/>
      <c r="H66" s="50" t="n"/>
      <c r="I66" s="43">
        <f>IF(COUNTIF(Tiempos[Tipo de Tarea], A66)=0, 0, SUMPRODUCT(INDEX(Tiempos[[Propiedad]:[Regla 
Negocio]], MATCH(A66, Tiempos[Tipo de Tarea], 0), 0), D66:H66)) * IFERROR(INDEX(Ponderaciones!B69:B70, MATCH(B66, Ponderaciones!A69:A70, 0)), 1)</f>
        <v/>
      </c>
    </row>
    <row r="67">
      <c r="A67" s="50" t="n"/>
      <c r="B67" s="50" t="n"/>
      <c r="C67" s="50" t="n"/>
      <c r="D67" s="50" t="n"/>
      <c r="E67" s="50" t="n"/>
      <c r="F67" s="50" t="n"/>
      <c r="G67" s="50" t="n"/>
      <c r="H67" s="50" t="n"/>
      <c r="I67" s="43">
        <f>IF(COUNTIF(Tiempos[Tipo de Tarea], A67)=0, 0, SUMPRODUCT(INDEX(Tiempos[[Propiedad]:[Regla 
Negocio]], MATCH(A67, Tiempos[Tipo de Tarea], 0), 0), D67:H67)) * IFERROR(INDEX(Ponderaciones!B70:B71, MATCH(B67, Ponderaciones!A70:A71, 0)), 1)</f>
        <v/>
      </c>
    </row>
    <row r="68">
      <c r="A68" s="50" t="n"/>
      <c r="B68" s="50" t="n"/>
      <c r="C68" s="50" t="n"/>
      <c r="D68" s="50" t="n"/>
      <c r="E68" s="50" t="n"/>
      <c r="F68" s="50" t="n"/>
      <c r="G68" s="50" t="n"/>
      <c r="H68" s="50" t="n"/>
      <c r="I68" s="43">
        <f>IF(COUNTIF(Tiempos[Tipo de Tarea], A68)=0, 0, SUMPRODUCT(INDEX(Tiempos[[Propiedad]:[Regla 
Negocio]], MATCH(A68, Tiempos[Tipo de Tarea], 0), 0), D68:H68)) * IFERROR(INDEX(Ponderaciones!B72:B73, MATCH(B68, Ponderaciones!A72:A73, 0)), 1)</f>
        <v/>
      </c>
    </row>
    <row r="69">
      <c r="A69" s="50" t="n"/>
      <c r="B69" s="50" t="n"/>
      <c r="C69" s="50" t="n"/>
      <c r="D69" s="50" t="n"/>
      <c r="E69" s="50" t="n"/>
      <c r="F69" s="50" t="n"/>
      <c r="G69" s="50" t="n"/>
      <c r="H69" s="50" t="n"/>
      <c r="I69" s="43">
        <f>IF(COUNTIF(Tiempos[Tipo de Tarea], A69)=0, 0, SUMPRODUCT(INDEX(Tiempos[[Propiedad]:[Regla 
Negocio]], MATCH(A69, Tiempos[Tipo de Tarea], 0), 0), D69:H69)) * IFERROR(INDEX(Ponderaciones!B73:B74, MATCH(B69, Ponderaciones!A73:A74, 0)), 1)</f>
        <v/>
      </c>
    </row>
    <row r="70">
      <c r="A70" s="50" t="n"/>
      <c r="B70" s="50" t="n"/>
      <c r="C70" s="50" t="n"/>
      <c r="D70" s="50" t="n"/>
      <c r="E70" s="50" t="n"/>
      <c r="F70" s="50" t="n"/>
      <c r="G70" s="50" t="n"/>
      <c r="H70" s="50" t="n"/>
      <c r="I70" s="43">
        <f>IF(COUNTIF(Tiempos[Tipo de Tarea], A70)=0, 0, SUMPRODUCT(INDEX(Tiempos[[Propiedad]:[Regla 
Negocio]], MATCH(A70, Tiempos[Tipo de Tarea], 0), 0), D70:H70)) * IFERROR(INDEX(Ponderaciones!B73:B74, MATCH(B70, Ponderaciones!A73:A74, 0)), 1)</f>
        <v/>
      </c>
    </row>
    <row r="7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43">
        <f>IF(COUNTIF(Tiempos[Tipo de Tarea], A71)=0, 0, SUMPRODUCT(INDEX(Tiempos[[Propiedad]:[Regla 
Negocio]], MATCH(A71, Tiempos[Tipo de Tarea], 0), 0), D71:H71)) * IFERROR(INDEX(Ponderaciones!B74:B75, MATCH(B71, Ponderaciones!A74:A75, 0)), 1)</f>
        <v/>
      </c>
    </row>
    <row r="72">
      <c r="A72" s="50" t="n"/>
      <c r="B72" s="50" t="n"/>
      <c r="C72" s="50" t="n"/>
      <c r="D72" s="50" t="n"/>
      <c r="E72" s="50" t="n"/>
      <c r="F72" s="50" t="n"/>
      <c r="G72" s="50" t="n"/>
      <c r="H72" s="50" t="n"/>
      <c r="I72" s="43">
        <f>IF(COUNTIF(Tiempos[Tipo de Tarea], A72)=0, 0, SUMPRODUCT(INDEX(Tiempos[[Propiedad]:[Regla 
Negocio]], MATCH(A72, Tiempos[Tipo de Tarea], 0), 0), D72:H72)) * IFERROR(INDEX(Ponderaciones!B76:B77, MATCH(B72, Ponderaciones!A76:A77, 0)), 1)</f>
        <v/>
      </c>
    </row>
    <row r="73">
      <c r="A73" s="50" t="n"/>
      <c r="B73" s="50" t="n"/>
      <c r="C73" s="50" t="n"/>
      <c r="D73" s="50" t="n"/>
      <c r="E73" s="50" t="n"/>
      <c r="F73" s="50" t="n"/>
      <c r="G73" s="50" t="n"/>
      <c r="H73" s="50" t="n"/>
      <c r="I73" s="43">
        <f>IF(COUNTIF(Tiempos[Tipo de Tarea], A73)=0, 0, SUMPRODUCT(INDEX(Tiempos[[Propiedad]:[Regla 
Negocio]], MATCH(A73, Tiempos[Tipo de Tarea], 0), 0), D73:H73)) * IFERROR(INDEX(Ponderaciones!B77:B78, MATCH(B73, Ponderaciones!A77:A78, 0)), 1)</f>
        <v/>
      </c>
    </row>
    <row r="74">
      <c r="A74" s="50" t="n"/>
      <c r="B74" s="50" t="n"/>
      <c r="C74" s="50" t="n"/>
      <c r="D74" s="50" t="n"/>
      <c r="E74" s="50" t="n"/>
      <c r="F74" s="50" t="n"/>
      <c r="G74" s="50" t="n"/>
      <c r="H74" s="50" t="n"/>
      <c r="I74" s="43">
        <f>IF(COUNTIF(Tiempos[Tipo de Tarea], A74)=0, 0, SUMPRODUCT(INDEX(Tiempos[[Propiedad]:[Regla 
Negocio]], MATCH(A74, Tiempos[Tipo de Tarea], 0), 0), D74:H74)) * IFERROR(INDEX(Ponderaciones!B77:B78, MATCH(B74, Ponderaciones!A77:A78, 0)), 1)</f>
        <v/>
      </c>
    </row>
    <row r="75">
      <c r="A75" s="50" t="n"/>
      <c r="B75" s="50" t="n"/>
      <c r="C75" s="50" t="n"/>
      <c r="D75" s="50" t="n"/>
      <c r="E75" s="50" t="n"/>
      <c r="F75" s="50" t="n"/>
      <c r="G75" s="50" t="n"/>
      <c r="H75" s="50" t="n"/>
      <c r="I75" s="43">
        <f>IF(COUNTIF(Tiempos[Tipo de Tarea], A75)=0, 0, SUMPRODUCT(INDEX(Tiempos[[Propiedad]:[Regla 
Negocio]], MATCH(A75, Tiempos[Tipo de Tarea], 0), 0), D75:H75)) * IFERROR(INDEX(Ponderaciones!B78:B79, MATCH(B75, Ponderaciones!A78:A79, 0)), 1)</f>
        <v/>
      </c>
    </row>
    <row r="76">
      <c r="A76" s="50" t="n"/>
      <c r="B76" s="50" t="n"/>
      <c r="C76" s="50" t="n"/>
      <c r="D76" s="50" t="n"/>
      <c r="E76" s="50" t="n"/>
      <c r="F76" s="50" t="n"/>
      <c r="G76" s="50" t="n"/>
      <c r="H76" s="50" t="n"/>
      <c r="I76" s="43">
        <f>IF(COUNTIF(Tiempos[Tipo de Tarea], A76)=0, 0, SUMPRODUCT(INDEX(Tiempos[[Propiedad]:[Regla 
Negocio]], MATCH(A76, Tiempos[Tipo de Tarea], 0), 0), D76:H76)) * IFERROR(INDEX(Ponderaciones!B80:B81, MATCH(B76, Ponderaciones!A80:A81, 0)), 1)</f>
        <v/>
      </c>
    </row>
    <row r="77">
      <c r="A77" s="50" t="n"/>
      <c r="B77" s="50" t="n"/>
      <c r="C77" s="50" t="n"/>
      <c r="D77" s="50" t="n"/>
      <c r="E77" s="50" t="n"/>
      <c r="F77" s="50" t="n"/>
      <c r="G77" s="50" t="n"/>
      <c r="H77" s="50" t="n"/>
      <c r="I77" s="43">
        <f>IF(COUNTIF(Tiempos[Tipo de Tarea], A77)=0, 0, SUMPRODUCT(INDEX(Tiempos[[Propiedad]:[Regla 
Negocio]], MATCH(A77, Tiempos[Tipo de Tarea], 0), 0), D77:H77)) * IFERROR(INDEX(Ponderaciones!B81:B82, MATCH(B77, Ponderaciones!A81:A82, 0)), 1)</f>
        <v/>
      </c>
    </row>
    <row r="78">
      <c r="A78" s="50" t="n"/>
      <c r="B78" s="50" t="n"/>
      <c r="C78" s="50" t="n"/>
      <c r="D78" s="50" t="n"/>
      <c r="E78" s="50" t="n"/>
      <c r="F78" s="50" t="n"/>
      <c r="G78" s="50" t="n"/>
      <c r="H78" s="50" t="n"/>
      <c r="I78" s="43">
        <f>IF(COUNTIF(Tiempos[Tipo de Tarea], A78)=0, 0, SUMPRODUCT(INDEX(Tiempos[[Propiedad]:[Regla 
Negocio]], MATCH(A78, Tiempos[Tipo de Tarea], 0), 0), D78:H78)) * IFERROR(INDEX(Ponderaciones!B81:B82, MATCH(B78, Ponderaciones!A81:A82, 0)), 1)</f>
        <v/>
      </c>
    </row>
    <row r="79">
      <c r="A79" s="50" t="n"/>
      <c r="B79" s="50" t="n"/>
      <c r="C79" s="50" t="n"/>
      <c r="D79" s="50" t="n"/>
      <c r="E79" s="50" t="n"/>
      <c r="F79" s="50" t="n"/>
      <c r="G79" s="50" t="n"/>
      <c r="H79" s="50" t="n"/>
      <c r="I79" s="43">
        <f>IF(COUNTIF(Tiempos[Tipo de Tarea], A79)=0, 0, SUMPRODUCT(INDEX(Tiempos[[Propiedad]:[Regla 
Negocio]], MATCH(A79, Tiempos[Tipo de Tarea], 0), 0), D79:H79)) * IFERROR(INDEX(Ponderaciones!B82:B83, MATCH(B79, Ponderaciones!A82:A83, 0)), 1)</f>
        <v/>
      </c>
    </row>
    <row r="80">
      <c r="A80" s="50" t="n"/>
      <c r="B80" s="50" t="n"/>
      <c r="C80" s="50" t="n"/>
      <c r="D80" s="50" t="n"/>
      <c r="E80" s="50" t="n"/>
      <c r="F80" s="50" t="n"/>
      <c r="G80" s="50" t="n"/>
      <c r="H80" s="50" t="n"/>
      <c r="I80" s="43">
        <f>IF(COUNTIF(Tiempos[Tipo de Tarea], A80)=0, 0, SUMPRODUCT(INDEX(Tiempos[[Propiedad]:[Regla 
Negocio]], MATCH(A80, Tiempos[Tipo de Tarea], 0), 0), D80:H80)) * IFERROR(INDEX(Ponderaciones!B84:B85, MATCH(B80, Ponderaciones!A84:A85, 0)), 1)</f>
        <v/>
      </c>
    </row>
    <row r="8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43">
        <f>IF(COUNTIF(Tiempos[Tipo de Tarea], A81)=0, 0, SUMPRODUCT(INDEX(Tiempos[[Propiedad]:[Regla 
Negocio]], MATCH(A81, Tiempos[Tipo de Tarea], 0), 0), D81:H81)) * IFERROR(INDEX(Ponderaciones!B85:B86, MATCH(B81, Ponderaciones!A85:A86, 0)), 1)</f>
        <v/>
      </c>
    </row>
    <row r="82">
      <c r="A82" s="50" t="n"/>
      <c r="B82" s="50" t="n"/>
      <c r="C82" s="50" t="n"/>
      <c r="D82" s="50" t="n"/>
      <c r="E82" s="50" t="n"/>
      <c r="F82" s="50" t="n"/>
      <c r="G82" s="50" t="n"/>
      <c r="H82" s="50" t="n"/>
      <c r="I82" s="43">
        <f>IF(COUNTIF(Tiempos[Tipo de Tarea], A82)=0, 0, SUMPRODUCT(INDEX(Tiempos[[Propiedad]:[Regla 
Negocio]], MATCH(A82, Tiempos[Tipo de Tarea], 0), 0), D82:H82)) * IFERROR(INDEX(Ponderaciones!B85:B86, MATCH(B82, Ponderaciones!A85:A86, 0)), 1)</f>
        <v/>
      </c>
    </row>
    <row r="83">
      <c r="A83" s="48" t="n"/>
      <c r="B83" s="49" t="n"/>
      <c r="C83" s="50" t="n"/>
      <c r="D83" s="50" t="n"/>
      <c r="E83" s="50" t="n"/>
      <c r="F83" s="50" t="n"/>
      <c r="G83" s="50" t="n"/>
      <c r="H83" s="50" t="n"/>
      <c r="I83" s="43">
        <f>IF(COUNTIF(Tiempos[Tipo de Tarea], A83)=0, 0, SUMPRODUCT(INDEX(Tiempos[[Propiedad]:[Regla 
Negocio]], MATCH(A83, Tiempos[Tipo de Tarea], 0), 0), D83:H83)) * IFERROR(INDEX(Ponderaciones!B87:B88, MATCH(B83, Ponderaciones!A87:A88, 0)), 1)</f>
        <v/>
      </c>
    </row>
    <row r="84">
      <c r="A84" s="48" t="n"/>
      <c r="B84" s="49" t="n"/>
      <c r="C84" s="50" t="n"/>
      <c r="D84" s="50" t="n"/>
      <c r="E84" s="50" t="n"/>
      <c r="F84" s="50" t="n"/>
      <c r="G84" s="50" t="n"/>
      <c r="H84" s="50" t="n"/>
      <c r="I84" s="43">
        <f>IF(COUNTIF(Tiempos[Tipo de Tarea], A84)=0, 0, SUMPRODUCT(INDEX(Tiempos[[Propiedad]:[Regla 
Negocio]], MATCH(A84, Tiempos[Tipo de Tarea], 0), 0), D84:H84)) * IFERROR(INDEX(Ponderaciones!B88:B89, MATCH(B84, Ponderaciones!A88:A89, 0)), 1)</f>
        <v/>
      </c>
    </row>
    <row r="85">
      <c r="A85" s="48" t="n"/>
      <c r="B85" s="49" t="n"/>
      <c r="C85" s="50" t="n"/>
      <c r="D85" s="50" t="n"/>
      <c r="E85" s="50" t="n"/>
      <c r="F85" s="50" t="n"/>
      <c r="G85" s="50" t="n"/>
      <c r="H85" s="50" t="n"/>
      <c r="I85" s="43">
        <f>IF(COUNTIF(Tiempos[Tipo de Tarea], A85)=0, 0, SUMPRODUCT(INDEX(Tiempos[[Propiedad]:[Regla 
Negocio]], MATCH(A85, Tiempos[Tipo de Tarea], 0), 0), D85:H85)) * IFERROR(INDEX(Ponderaciones!B88:B89, MATCH(B85, Ponderaciones!A88:A89, 0)), 1)</f>
        <v/>
      </c>
    </row>
    <row r="86">
      <c r="A86" s="48" t="n"/>
      <c r="B86" s="49" t="n"/>
      <c r="C86" s="50" t="n"/>
      <c r="D86" s="50" t="n"/>
      <c r="E86" s="50" t="n"/>
      <c r="F86" s="50" t="n"/>
      <c r="G86" s="50" t="n"/>
      <c r="H86" s="50" t="n"/>
      <c r="I86" s="43">
        <f>IF(COUNTIF(Tiempos[Tipo de Tarea], A86)=0, 0, SUMPRODUCT(INDEX(Tiempos[[Propiedad]:[Regla 
Negocio]], MATCH(A86, Tiempos[Tipo de Tarea], 0), 0), D86:H86)) * IFERROR(INDEX(Ponderaciones!B89:B90, MATCH(B86, Ponderaciones!A89:A90, 0)), 1)</f>
        <v/>
      </c>
    </row>
    <row r="87">
      <c r="A87" s="48" t="n"/>
      <c r="B87" s="49" t="n"/>
      <c r="C87" s="50" t="n"/>
      <c r="D87" s="50" t="n"/>
      <c r="E87" s="50" t="n"/>
      <c r="F87" s="50" t="n"/>
      <c r="G87" s="50" t="n"/>
      <c r="H87" s="50" t="n"/>
      <c r="I87" s="43">
        <f>IF(COUNTIF(Tiempos[Tipo de Tarea], A87)=0, 0, SUMPRODUCT(INDEX(Tiempos[[Propiedad]:[Regla 
Negocio]], MATCH(A87, Tiempos[Tipo de Tarea], 0), 0), D87:H87)) * IFERROR(INDEX(Ponderaciones!B91:B92, MATCH(B87, Ponderaciones!A91:A92, 0)), 1)</f>
        <v/>
      </c>
    </row>
    <row r="88">
      <c r="A88" s="48" t="n"/>
      <c r="B88" s="49" t="n"/>
      <c r="C88" s="50" t="n"/>
      <c r="D88" s="50" t="n"/>
      <c r="E88" s="50" t="n"/>
      <c r="F88" s="50" t="n"/>
      <c r="G88" s="50" t="n"/>
      <c r="H88" s="50" t="n"/>
      <c r="I88" s="43">
        <f>IF(COUNTIF(Tiempos[Tipo de Tarea], A88)=0, 0, SUMPRODUCT(INDEX(Tiempos[[Propiedad]:[Regla 
Negocio]], MATCH(A88, Tiempos[Tipo de Tarea], 0), 0), D88:H88)) * IFERROR(INDEX(Ponderaciones!B92:B93, MATCH(B88, Ponderaciones!A92:A93, 0)), 1)</f>
        <v/>
      </c>
    </row>
    <row r="89">
      <c r="A89" s="48" t="n"/>
      <c r="B89" s="49" t="n"/>
      <c r="C89" s="50" t="n"/>
      <c r="D89" s="50" t="n"/>
      <c r="E89" s="50" t="n"/>
      <c r="F89" s="50" t="n"/>
      <c r="G89" s="50" t="n"/>
      <c r="H89" s="50" t="n"/>
      <c r="I89" s="43">
        <f>IF(COUNTIF(Tiempos[Tipo de Tarea], A89)=0, 0, SUMPRODUCT(INDEX(Tiempos[[Propiedad]:[Regla 
Negocio]], MATCH(A89, Tiempos[Tipo de Tarea], 0), 0), D89:H89)) * IFERROR(INDEX(Ponderaciones!B92:B93, MATCH(B89, Ponderaciones!A92:A93, 0)), 1)</f>
        <v/>
      </c>
    </row>
    <row r="90">
      <c r="A90" s="48" t="n"/>
      <c r="B90" s="49" t="n"/>
      <c r="C90" s="50" t="n"/>
      <c r="D90" s="50" t="n"/>
      <c r="E90" s="50" t="n"/>
      <c r="F90" s="50" t="n"/>
      <c r="G90" s="50" t="n"/>
      <c r="H90" s="50" t="n"/>
      <c r="I90" s="43">
        <f>IF(COUNTIF(Tiempos[Tipo de Tarea], A90)=0, 0, SUMPRODUCT(INDEX(Tiempos[[Propiedad]:[Regla 
Negocio]], MATCH(A90, Tiempos[Tipo de Tarea], 0), 0), D90:H90)) * IFERROR(INDEX(Ponderaciones!B93:B94, MATCH(B90, Ponderaciones!A93:A94, 0)), 1)</f>
        <v/>
      </c>
    </row>
    <row r="91">
      <c r="A91" s="48" t="n"/>
      <c r="B91" s="49" t="n"/>
      <c r="C91" s="50" t="n"/>
      <c r="D91" s="50" t="n"/>
      <c r="E91" s="50" t="n"/>
      <c r="F91" s="50" t="n"/>
      <c r="G91" s="50" t="n"/>
      <c r="H91" s="50" t="n"/>
      <c r="I91" s="43">
        <f>IF(COUNTIF(Tiempos[Tipo de Tarea], A91)=0, 0, SUMPRODUCT(INDEX(Tiempos[[Propiedad]:[Regla 
Negocio]], MATCH(A91, Tiempos[Tipo de Tarea], 0), 0), D91:H91)) * IFERROR(INDEX(Ponderaciones!B95:B96, MATCH(B91, Ponderaciones!A95:A96, 0)), 1)</f>
        <v/>
      </c>
    </row>
    <row r="92">
      <c r="A92" s="48" t="n"/>
      <c r="B92" s="49" t="n"/>
      <c r="C92" s="50" t="n"/>
      <c r="D92" s="50" t="n"/>
      <c r="E92" s="50" t="n"/>
      <c r="F92" s="50" t="n"/>
      <c r="G92" s="50" t="n"/>
      <c r="H92" s="50" t="n"/>
      <c r="I92" s="43">
        <f>IF(COUNTIF(Tiempos[Tipo de Tarea], A92)=0, 0, SUMPRODUCT(INDEX(Tiempos[[Propiedad]:[Regla 
Negocio]], MATCH(A92, Tiempos[Tipo de Tarea], 0), 0), D92:H92)) * IFERROR(INDEX(Ponderaciones!B96:B97, MATCH(B92, Ponderaciones!A96:A97, 0)), 1)</f>
        <v/>
      </c>
    </row>
    <row r="93">
      <c r="A93" s="48" t="n"/>
      <c r="B93" s="49" t="n"/>
      <c r="C93" s="50" t="n"/>
      <c r="D93" s="50" t="n"/>
      <c r="E93" s="50" t="n"/>
      <c r="F93" s="50" t="n"/>
      <c r="G93" s="50" t="n"/>
      <c r="H93" s="50" t="n"/>
      <c r="I93" s="43">
        <f>IF(COUNTIF(Tiempos[Tipo de Tarea], A93)=0, 0, SUMPRODUCT(INDEX(Tiempos[[Propiedad]:[Regla 
Negocio]], MATCH(A93, Tiempos[Tipo de Tarea], 0), 0), D93:H93)) * IFERROR(INDEX(Ponderaciones!B96:B97, MATCH(B93, Ponderaciones!A96:A97, 0)), 1)</f>
        <v/>
      </c>
    </row>
    <row r="94">
      <c r="A94" s="48" t="n"/>
      <c r="B94" s="49" t="n"/>
      <c r="C94" s="50" t="n"/>
      <c r="D94" s="50" t="n"/>
      <c r="E94" s="50" t="n"/>
      <c r="F94" s="50" t="n"/>
      <c r="G94" s="50" t="n"/>
      <c r="H94" s="50" t="n"/>
      <c r="I94" s="43">
        <f>IF(COUNTIF(Tiempos[Tipo de Tarea], A94)=0, 0, SUMPRODUCT(INDEX(Tiempos[[Propiedad]:[Regla 
Negocio]], MATCH(A94, Tiempos[Tipo de Tarea], 0), 0), D94:H94)) * IFERROR(INDEX(Ponderaciones!B97:B98, MATCH(B94, Ponderaciones!A97:A98, 0)), 1)</f>
        <v/>
      </c>
    </row>
    <row r="95">
      <c r="A95" s="48" t="n"/>
      <c r="B95" s="49" t="n"/>
      <c r="C95" s="50" t="n"/>
      <c r="D95" s="50" t="n"/>
      <c r="E95" s="50" t="n"/>
      <c r="F95" s="50" t="n"/>
      <c r="G95" s="50" t="n"/>
      <c r="H95" s="50" t="n"/>
      <c r="I95" s="43">
        <f>IF(COUNTIF(Tiempos[Tipo de Tarea], A95)=0, 0, SUMPRODUCT(INDEX(Tiempos[[Propiedad]:[Regla 
Negocio]], MATCH(A95, Tiempos[Tipo de Tarea], 0), 0), D95:H95)) * IFERROR(INDEX(Ponderaciones!B99:B100, MATCH(B95, Ponderaciones!A99:A100, 0)), 1)</f>
        <v/>
      </c>
    </row>
    <row r="96">
      <c r="A96" s="48" t="n"/>
      <c r="B96" s="49" t="n"/>
      <c r="C96" s="50" t="n"/>
      <c r="D96" s="50" t="n"/>
      <c r="E96" s="50" t="n"/>
      <c r="F96" s="50" t="n"/>
      <c r="G96" s="50" t="n"/>
      <c r="H96" s="50" t="n"/>
      <c r="I96" s="43">
        <f>IF(COUNTIF(Tiempos[Tipo de Tarea], A96)=0, 0, SUMPRODUCT(INDEX(Tiempos[[Propiedad]:[Regla 
Negocio]], MATCH(A96, Tiempos[Tipo de Tarea], 0), 0), D96:H96)) * IFERROR(INDEX(Ponderaciones!B100:B101, MATCH(B96, Ponderaciones!A100:A101, 0)), 1)</f>
        <v/>
      </c>
    </row>
    <row r="97">
      <c r="A97" s="48" t="n"/>
      <c r="B97" s="49" t="n"/>
      <c r="C97" s="50" t="n"/>
      <c r="D97" s="50" t="n"/>
      <c r="E97" s="50" t="n"/>
      <c r="F97" s="50" t="n"/>
      <c r="G97" s="50" t="n"/>
      <c r="H97" s="50" t="n"/>
      <c r="I97" s="43">
        <f>IF(COUNTIF(Tiempos[Tipo de Tarea], A97)=0, 0, SUMPRODUCT(INDEX(Tiempos[[Propiedad]:[Regla 
Negocio]], MATCH(A97, Tiempos[Tipo de Tarea], 0), 0), D97:H97)) * IFERROR(INDEX(Ponderaciones!B100:B101, MATCH(B97, Ponderaciones!A100:A101, 0)), 1)</f>
        <v/>
      </c>
    </row>
    <row r="98">
      <c r="A98" s="48" t="n"/>
      <c r="B98" s="49" t="n"/>
      <c r="C98" s="50" t="n"/>
      <c r="D98" s="50" t="n"/>
      <c r="E98" s="50" t="n"/>
      <c r="F98" s="50" t="n"/>
      <c r="G98" s="50" t="n"/>
      <c r="H98" s="50" t="n"/>
      <c r="I98" s="43">
        <f>IF(COUNTIF(Tiempos[Tipo de Tarea], A98)=0, 0, SUMPRODUCT(INDEX(Tiempos[[Propiedad]:[Regla 
Negocio]], MATCH(A98, Tiempos[Tipo de Tarea], 0), 0), D98:H98)) * IFERROR(INDEX(Ponderaciones!B101:B102, MATCH(B98, Ponderaciones!A101:A102, 0)), 1)</f>
        <v/>
      </c>
    </row>
    <row r="99">
      <c r="A99" s="48" t="n"/>
      <c r="B99" s="49" t="n"/>
      <c r="C99" s="50" t="n"/>
      <c r="D99" s="50" t="n"/>
      <c r="E99" s="50" t="n"/>
      <c r="F99" s="50" t="n"/>
      <c r="G99" s="50" t="n"/>
      <c r="H99" s="50" t="n"/>
      <c r="I99" s="43">
        <f>IF(COUNTIF(Tiempos[Tipo de Tarea], A99)=0, 0, SUMPRODUCT(INDEX(Tiempos[[Propiedad]:[Regla 
Negocio]], MATCH(A99, Tiempos[Tipo de Tarea], 0), 0), D99:H99)) * IFERROR(INDEX(Ponderaciones!B103:B104, MATCH(B99, Ponderaciones!A103:A104, 0)), 1)</f>
        <v/>
      </c>
    </row>
    <row r="100">
      <c r="A100" s="48" t="n"/>
      <c r="B100" s="49" t="n"/>
      <c r="C100" s="50" t="n"/>
      <c r="D100" s="50" t="n"/>
      <c r="E100" s="50" t="n"/>
      <c r="F100" s="50" t="n"/>
      <c r="G100" s="50" t="n"/>
      <c r="H100" s="50" t="n"/>
      <c r="I100" s="43">
        <f>IF(COUNTIF(Tiempos[Tipo de Tarea], A100)=0, 0, SUMPRODUCT(INDEX(Tiempos[[Propiedad]:[Regla 
Negocio]], MATCH(A100, Tiempos[Tipo de Tarea], 0), 0), D100:H100)) * IFERROR(INDEX(Ponderaciones!B104:B105, MATCH(B100, Ponderaciones!A104:A105, 0)), 1)</f>
        <v/>
      </c>
    </row>
    <row r="101">
      <c r="A101" s="48" t="n"/>
      <c r="B101" s="49" t="n"/>
      <c r="C101" s="50" t="n"/>
      <c r="D101" s="50" t="n"/>
      <c r="E101" s="50" t="n"/>
      <c r="F101" s="50" t="n"/>
      <c r="G101" s="50" t="n"/>
      <c r="H101" s="50" t="n"/>
      <c r="I101" s="43">
        <f>IF(COUNTIF(Tiempos[Tipo de Tarea], A101)=0, 0, SUMPRODUCT(INDEX(Tiempos[[Propiedad]:[Regla 
Negocio]], MATCH(A101, Tiempos[Tipo de Tarea], 0), 0), D101:H101)) * IFERROR(INDEX(Ponderaciones!B104:B105, MATCH(B101, Ponderaciones!A104:A105, 0)), 1)</f>
        <v/>
      </c>
    </row>
    <row r="102">
      <c r="A102" s="51" t="n"/>
      <c r="B102" s="51" t="n"/>
    </row>
    <row r="103">
      <c r="A103" s="51" t="n"/>
      <c r="B103" s="51" t="n"/>
    </row>
    <row r="110">
      <c r="G110" s="52" t="n"/>
    </row>
  </sheetData>
  <sheetProtection selectLockedCells="0" selectUnlockedCells="0" sheet="1" objects="1" insertRows="1" insertHyperlinks="1" autoFilter="0" scenarios="1" formatColumns="1" deleteColumns="1" insertColumns="1" pivotTables="0" deleteRows="1" formatCells="1" formatRows="1" sort="0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B3" sqref="B3:F8"/>
    </sheetView>
  </sheetViews>
  <sheetFormatPr baseColWidth="10" defaultColWidth="11.42578125" defaultRowHeight="15"/>
  <cols>
    <col width="16.85546875" customWidth="1" style="1" min="1" max="1"/>
    <col width="10.5703125" customWidth="1" min="2" max="6"/>
    <col width="21.7109375" customWidth="1" min="8" max="8"/>
    <col width="11.28515625" customWidth="1" min="9" max="9"/>
    <col width="11.7109375" customWidth="1" min="10" max="10"/>
    <col width="14.42578125" customWidth="1" min="11" max="11"/>
  </cols>
  <sheetData>
    <row r="1">
      <c r="A1" s="1" t="inlineStr">
        <is>
          <t>MIS TIEMPOS</t>
        </is>
      </c>
    </row>
    <row r="2" ht="23.1" customHeight="1">
      <c r="A2" s="15" t="inlineStr">
        <is>
          <t>Tipo de Tarea</t>
        </is>
      </c>
      <c r="B2" s="16" t="inlineStr">
        <is>
          <t>Propiedad</t>
        </is>
      </c>
      <c r="C2" s="16" t="inlineStr">
        <is>
          <t>Método</t>
        </is>
      </c>
      <c r="D2" s="16" t="inlineStr">
        <is>
          <t>Evento</t>
        </is>
      </c>
      <c r="E2" s="16" t="inlineStr">
        <is>
          <t>Integración</t>
        </is>
      </c>
      <c r="F2" s="17" t="inlineStr">
        <is>
          <t>Regla 
Negocio</t>
        </is>
      </c>
    </row>
    <row r="3" ht="20.1" customHeight="1">
      <c r="A3" s="19" t="inlineStr">
        <is>
          <t>Modelo de datos</t>
        </is>
      </c>
      <c r="B3" s="11" t="n">
        <v>10</v>
      </c>
      <c r="C3" s="12" t="n">
        <v>15</v>
      </c>
      <c r="D3" s="14" t="n">
        <v>0</v>
      </c>
      <c r="E3" s="13" t="n">
        <v>0</v>
      </c>
      <c r="F3" s="71" t="n">
        <v>60</v>
      </c>
    </row>
    <row r="4" ht="20.1" customHeight="1">
      <c r="A4" s="20" t="inlineStr">
        <is>
          <t>Módulos</t>
        </is>
      </c>
      <c r="B4" s="11" t="n">
        <v>5</v>
      </c>
      <c r="C4" s="12" t="n">
        <v>45</v>
      </c>
      <c r="D4" s="14" t="n">
        <v>0</v>
      </c>
      <c r="E4" s="13" t="n">
        <v>30</v>
      </c>
      <c r="F4" s="71" t="n">
        <v>0</v>
      </c>
    </row>
    <row r="5" ht="20.1" customHeight="1">
      <c r="A5" s="19" t="inlineStr">
        <is>
          <t>Servicios</t>
        </is>
      </c>
      <c r="B5" s="11" t="n">
        <v>10</v>
      </c>
      <c r="C5" s="12" t="n">
        <v>15</v>
      </c>
      <c r="D5" s="14" t="n">
        <v>0</v>
      </c>
      <c r="E5" s="13" t="n">
        <v>45</v>
      </c>
      <c r="F5" s="71" t="n">
        <v>0</v>
      </c>
    </row>
    <row r="6" ht="20.1" customHeight="1">
      <c r="A6" s="20" t="inlineStr">
        <is>
          <t>Componentes (TS)</t>
        </is>
      </c>
      <c r="B6" s="11" t="n">
        <v>10</v>
      </c>
      <c r="C6" s="12" t="n">
        <v>30</v>
      </c>
      <c r="D6" s="14" t="n">
        <v>30</v>
      </c>
      <c r="E6" s="13" t="n">
        <v>45</v>
      </c>
      <c r="F6" s="71" t="n">
        <v>60</v>
      </c>
    </row>
    <row r="7" ht="20.1" customHeight="1">
      <c r="A7" s="19" t="inlineStr">
        <is>
          <t>Vista HTML</t>
        </is>
      </c>
      <c r="B7" s="11" t="n">
        <v>10</v>
      </c>
      <c r="C7" s="12" t="n">
        <v>0</v>
      </c>
      <c r="D7" s="14" t="n">
        <v>10</v>
      </c>
      <c r="E7" s="13" t="n">
        <v>0</v>
      </c>
      <c r="F7" s="71" t="n">
        <v>15</v>
      </c>
    </row>
    <row r="8" ht="20.1" customHeight="1">
      <c r="A8" s="20" t="inlineStr">
        <is>
          <t>Estilos SCSS</t>
        </is>
      </c>
      <c r="B8" s="11" t="n">
        <v>15</v>
      </c>
      <c r="C8" s="12" t="n">
        <v>30</v>
      </c>
      <c r="D8" s="14" t="n">
        <v>15</v>
      </c>
      <c r="E8" s="13" t="n">
        <v>75</v>
      </c>
      <c r="F8" s="71" t="n">
        <v>30</v>
      </c>
    </row>
    <row r="9" ht="20.1" customHeight="1"/>
    <row r="10">
      <c r="H10" s="15" t="inlineStr">
        <is>
          <t>Incertidumbre</t>
        </is>
      </c>
      <c r="I10" s="15" t="inlineStr">
        <is>
          <t>Factor</t>
        </is>
      </c>
    </row>
    <row r="11">
      <c r="A11" s="22" t="n"/>
      <c r="B11" s="76" t="inlineStr">
        <is>
          <t>Factor ajuste</t>
        </is>
      </c>
      <c r="C11" s="76" t="inlineStr">
        <is>
          <t>Tiempo min.</t>
        </is>
      </c>
      <c r="H11" s="33" t="inlineStr">
        <is>
          <t>Nula</t>
        </is>
      </c>
      <c r="I11" s="35" t="n">
        <v>0</v>
      </c>
    </row>
    <row r="12">
      <c r="A12" s="87" t="inlineStr">
        <is>
          <t>Nuevo</t>
        </is>
      </c>
      <c r="B12" s="27" t="n">
        <v>1</v>
      </c>
      <c r="C12" s="24" t="n">
        <v>0</v>
      </c>
      <c r="H12" s="34" t="inlineStr">
        <is>
          <t>Baja</t>
        </is>
      </c>
      <c r="I12" s="36" t="inlineStr">
        <is>
          <t>0,07</t>
        </is>
      </c>
    </row>
    <row r="13">
      <c r="A13" s="87" t="inlineStr">
        <is>
          <t>Actualización</t>
        </is>
      </c>
      <c r="B13" s="27" t="n">
        <v>1.5</v>
      </c>
      <c r="C13" s="24" t="n">
        <v>0</v>
      </c>
      <c r="H13" s="33" t="inlineStr">
        <is>
          <t>Media</t>
        </is>
      </c>
      <c r="I13" s="35" t="inlineStr">
        <is>
          <t>0,15</t>
        </is>
      </c>
    </row>
    <row r="14">
      <c r="A14" s="28" t="n"/>
      <c r="B14" s="25" t="n"/>
      <c r="C14" s="26" t="n"/>
      <c r="H14" s="34" t="inlineStr">
        <is>
          <t>Alta</t>
        </is>
      </c>
      <c r="I14" s="36" t="inlineStr">
        <is>
          <t>0,3</t>
        </is>
      </c>
    </row>
    <row r="15">
      <c r="A15" s="87" t="inlineStr">
        <is>
          <t>Senior</t>
        </is>
      </c>
      <c r="B15" s="27" t="n">
        <v>1</v>
      </c>
      <c r="C15" s="24" t="n">
        <v>0</v>
      </c>
    </row>
    <row r="16">
      <c r="A16" s="87" t="inlineStr">
        <is>
          <t>Mid</t>
        </is>
      </c>
      <c r="B16" s="27" t="n">
        <v>1.5</v>
      </c>
      <c r="C16" s="24" t="n">
        <v>0</v>
      </c>
    </row>
    <row r="17">
      <c r="A17" s="87" t="inlineStr">
        <is>
          <t>Junior</t>
        </is>
      </c>
      <c r="B17" s="27" t="n">
        <v>2.5</v>
      </c>
      <c r="C17" s="24" t="n">
        <v>0</v>
      </c>
      <c r="H17" s="15" t="inlineStr">
        <is>
          <t>Acoplamiento</t>
        </is>
      </c>
      <c r="I17" s="37" t="inlineStr">
        <is>
          <t>Factor</t>
        </is>
      </c>
    </row>
    <row r="18">
      <c r="A18" s="28" t="n"/>
      <c r="B18" s="25" t="n"/>
      <c r="C18" s="26" t="n"/>
      <c r="H18" s="33" t="inlineStr">
        <is>
          <t>Sí</t>
        </is>
      </c>
      <c r="I18" s="38" t="inlineStr">
        <is>
          <t>0,15</t>
        </is>
      </c>
    </row>
    <row r="19">
      <c r="A19" s="87" t="n"/>
      <c r="B19" s="27" t="n">
        <v>0.1</v>
      </c>
      <c r="C19" s="24" t="n"/>
      <c r="D19" s="27" t="n">
        <v>0.5</v>
      </c>
      <c r="E19" t="inlineStr">
        <is>
          <t>Daily/dia</t>
        </is>
      </c>
      <c r="H19" s="34" t="inlineStr">
        <is>
          <t>No</t>
        </is>
      </c>
      <c r="I19" s="39" t="inlineStr">
        <is>
          <t>0</t>
        </is>
      </c>
    </row>
    <row r="20">
      <c r="A20" s="87" t="inlineStr">
        <is>
          <t>Analisis técnico</t>
        </is>
      </c>
      <c r="B20" s="27" t="n">
        <v>0.2</v>
      </c>
      <c r="C20" s="24" t="n">
        <v>45</v>
      </c>
    </row>
    <row r="21">
      <c r="A21" s="87" t="inlineStr">
        <is>
          <t>Comprensión tarea</t>
        </is>
      </c>
      <c r="B21" s="27">
        <f>0.05</f>
        <v/>
      </c>
      <c r="C21" s="24" t="n">
        <v>30</v>
      </c>
    </row>
    <row r="22">
      <c r="A22" s="87" t="inlineStr">
        <is>
          <t>Test</t>
        </is>
      </c>
      <c r="B22" s="27" t="n">
        <v>0.2</v>
      </c>
      <c r="C22" s="24" t="n">
        <v>30</v>
      </c>
    </row>
    <row r="23">
      <c r="A23" s="87" t="inlineStr">
        <is>
          <t>Documentación</t>
        </is>
      </c>
      <c r="B23" s="27" t="n">
        <v>0.1</v>
      </c>
      <c r="C23" s="24" t="n">
        <v>30</v>
      </c>
    </row>
    <row r="24">
      <c r="A24" s="87" t="inlineStr">
        <is>
          <t>Peer Reviews</t>
        </is>
      </c>
      <c r="B24" s="27" t="n">
        <v>0.05</v>
      </c>
      <c r="C24" s="24" t="n">
        <v>30</v>
      </c>
    </row>
    <row r="25">
      <c r="A25" s="87" t="inlineStr">
        <is>
          <t>Integración</t>
        </is>
      </c>
      <c r="B25" s="27" t="n">
        <v>0</v>
      </c>
      <c r="C25" s="24" t="n">
        <v>30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f9rzApLpeExyueA6H914A==" formatRows="1" sort="1" spinCount="100000" hashValue="z6BjE6h4yXW0U6EH82rgOOQOmMRG9IW8S8NooiFdSoL9RO2I0g8w4ViPMEjNn3RtniN5FAIcpVTugDjIf1eVZw=="/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6"/>
  <sheetViews>
    <sheetView topLeftCell="A6" zoomScaleNormal="100" workbookViewId="0">
      <selection activeCell="H24" sqref="H24"/>
    </sheetView>
  </sheetViews>
  <sheetFormatPr baseColWidth="10" defaultColWidth="11.42578125" defaultRowHeight="15"/>
  <cols>
    <col width="3" customWidth="1" min="1" max="1"/>
    <col width="16.85546875" customWidth="1" style="1" min="2" max="2"/>
    <col width="25.85546875" customWidth="1" min="3" max="3"/>
    <col width="67.85546875" customWidth="1" min="4" max="4"/>
    <col width="66.5703125" customWidth="1" min="5" max="5"/>
  </cols>
  <sheetData>
    <row r="2" ht="23.1" customHeight="1">
      <c r="B2" s="76" t="inlineStr">
        <is>
          <t>Tipo de Tarea</t>
        </is>
      </c>
      <c r="C2" s="76" t="inlineStr">
        <is>
          <t>Elemento Cuantificable</t>
        </is>
      </c>
      <c r="D2" s="76" t="inlineStr">
        <is>
          <t>Descripcion</t>
        </is>
      </c>
      <c r="E2" s="76" t="inlineStr">
        <is>
          <t>Comentario</t>
        </is>
      </c>
    </row>
    <row r="3" ht="20.1" customHeight="1">
      <c r="B3" s="3" t="inlineStr">
        <is>
          <t>Modelo de datos</t>
        </is>
      </c>
      <c r="C3" s="4" t="inlineStr">
        <is>
          <t>Propiedad</t>
        </is>
      </c>
      <c r="D3" s="3" t="inlineStr">
        <is>
          <t>Cada propiedad incluye declaración, inicialización y documentación (si aplica).</t>
        </is>
      </c>
      <c r="E3" s="3" t="n"/>
    </row>
    <row r="4" ht="20.1" customHeight="1">
      <c r="B4" s="88" t="n"/>
      <c r="C4" s="7" t="inlineStr">
        <is>
          <t>Método</t>
        </is>
      </c>
      <c r="D4" s="3" t="inlineStr">
        <is>
          <t>Métodos incluyen getters/setters, transformación básica de datos.</t>
        </is>
      </c>
      <c r="E4" s="3" t="inlineStr">
        <is>
          <t>Tienen menor complejidad</t>
        </is>
      </c>
    </row>
    <row r="5" ht="20.1" customHeight="1">
      <c r="B5" s="89" t="n"/>
      <c r="C5" s="5" t="inlineStr">
        <is>
          <t>Reglas de negocio</t>
        </is>
      </c>
      <c r="D5" s="3" t="inlineStr">
        <is>
          <t>Validaciones comunes,  lógica avanzada en el modelo.</t>
        </is>
      </c>
      <c r="E5" s="3" t="inlineStr">
        <is>
          <t>Tienen mayor complejidad</t>
        </is>
      </c>
    </row>
    <row r="6" ht="20.1" customHeight="1">
      <c r="B6" s="87" t="inlineStr">
        <is>
          <t>Módulos</t>
        </is>
      </c>
      <c r="C6" s="4" t="inlineStr">
        <is>
          <t>Propiedad</t>
        </is>
      </c>
      <c r="D6" s="87" t="inlineStr">
        <is>
          <t>Configuración de imports, declarations, etc.</t>
        </is>
      </c>
      <c r="E6" s="87" t="n"/>
    </row>
    <row r="7" ht="20.1" customHeight="1">
      <c r="B7" s="88" t="n"/>
      <c r="C7" s="7" t="inlineStr">
        <is>
          <t>Método</t>
        </is>
      </c>
      <c r="D7" s="87" t="inlineStr">
        <is>
          <t>Métodos como configuraciones personalizadas (guards, resolvers, etc.).</t>
        </is>
      </c>
      <c r="E7" s="87" t="n"/>
    </row>
    <row r="8" ht="20.1" customHeight="1">
      <c r="B8" s="89" t="n"/>
      <c r="C8" s="6" t="inlineStr">
        <is>
          <t>Integración</t>
        </is>
      </c>
      <c r="D8" s="87" t="inlineStr">
        <is>
          <t>Configuración de integración con librerías externas o módulos de terceros.</t>
        </is>
      </c>
      <c r="E8" s="87" t="n"/>
    </row>
    <row r="9" ht="20.1" customHeight="1">
      <c r="B9" s="81" t="inlineStr">
        <is>
          <t>Servicios</t>
        </is>
      </c>
      <c r="C9" s="4" t="inlineStr">
        <is>
          <t>Propiedad</t>
        </is>
      </c>
      <c r="D9" s="3" t="inlineStr">
        <is>
          <t>Propiedades para estado o configuración del servicio.</t>
        </is>
      </c>
      <c r="E9" s="3" t="n"/>
    </row>
    <row r="10" ht="20.1" customHeight="1">
      <c r="B10" s="88" t="n"/>
      <c r="C10" s="7" t="inlineStr">
        <is>
          <t>Método</t>
        </is>
      </c>
      <c r="D10" s="3" t="inlineStr">
        <is>
          <t>Lógica de negocio o funciones que interactúan con APIs y control de flujo de datos.</t>
        </is>
      </c>
      <c r="E10" s="3" t="n"/>
    </row>
    <row r="11" ht="20.1" customHeight="1">
      <c r="B11" s="88" t="n"/>
      <c r="C11" s="6" t="inlineStr">
        <is>
          <t>Integración</t>
        </is>
      </c>
      <c r="D11" s="3" t="inlineStr">
        <is>
          <t>Tiempo necesario para conectar un servicio con APIs externas o SDKs de terceros.</t>
        </is>
      </c>
      <c r="E11" s="3" t="inlineStr">
        <is>
          <t>Definir peticiones a terceros y comprobar que funcionen</t>
        </is>
      </c>
    </row>
    <row r="12" ht="20.1" customHeight="1">
      <c r="B12" s="87" t="inlineStr">
        <is>
          <t>Componentes (TS)</t>
        </is>
      </c>
      <c r="C12" s="4" t="inlineStr">
        <is>
          <t>Propiedad</t>
        </is>
      </c>
      <c r="D12" s="87" t="inlineStr">
        <is>
          <t>Manejar inputs (@Input()), outputs (@Output()), o variables locales.</t>
        </is>
      </c>
      <c r="E12" s="87" t="n"/>
    </row>
    <row r="13" ht="20.1" customHeight="1">
      <c r="B13" s="88" t="n"/>
      <c r="C13" s="7" t="inlineStr">
        <is>
          <t>Método</t>
        </is>
      </c>
      <c r="D13" s="87" t="inlineStr">
        <is>
          <t>Lógica específica: control de eventos, manejo de datos, o interacciones del usuario.</t>
        </is>
      </c>
      <c r="E13" s="87" t="n"/>
    </row>
    <row r="14" ht="20.1" customHeight="1">
      <c r="B14" s="88" t="n"/>
      <c r="C14" s="9" t="inlineStr">
        <is>
          <t>Evento</t>
        </is>
      </c>
      <c r="D14" s="87" t="inlineStr">
        <is>
          <t>Configuración de eventos (@Output, EventEmitter) y lógica asociada.</t>
        </is>
      </c>
      <c r="E14" s="87" t="n"/>
    </row>
    <row r="15" ht="20.1" customHeight="1">
      <c r="B15" s="88" t="n"/>
      <c r="C15" s="6" t="inlineStr">
        <is>
          <t>Integración</t>
        </is>
      </c>
      <c r="D15" s="87" t="inlineStr">
        <is>
          <t>Comunicación entre componentes o interacción con servicios del backend.</t>
        </is>
      </c>
      <c r="E15" s="87" t="n"/>
    </row>
    <row r="16" ht="20.1" customHeight="1">
      <c r="B16" s="89" t="n"/>
      <c r="C16" s="5" t="inlineStr">
        <is>
          <t>Reglas de negocio</t>
        </is>
      </c>
      <c r="D16" s="87" t="inlineStr">
        <is>
          <t>Validaciones lógicas, logica más avanzada</t>
        </is>
      </c>
      <c r="E16" s="87" t="n"/>
    </row>
    <row r="17" ht="20.1" customHeight="1">
      <c r="B17" s="3" t="inlineStr">
        <is>
          <t>Vista HTML</t>
        </is>
      </c>
      <c r="C17" s="4" t="inlineStr">
        <is>
          <t>Propiedad (tag)</t>
        </is>
      </c>
      <c r="D17" s="3" t="inlineStr">
        <is>
          <t>Creación de un tag básico o estructura de contenido.</t>
        </is>
      </c>
      <c r="E17" s="3" t="n"/>
    </row>
    <row r="18" ht="20.1" customHeight="1">
      <c r="B18" s="88" t="n"/>
      <c r="C18" s="9" t="inlineStr">
        <is>
          <t>Evento</t>
        </is>
      </c>
      <c r="D18" s="3" t="inlineStr">
        <is>
          <t>Manejo de eventos como (click) o (change).</t>
        </is>
      </c>
      <c r="E18" s="3" t="n"/>
    </row>
    <row r="19" ht="20.1" customHeight="1">
      <c r="B19" s="89" t="n"/>
      <c r="C19" s="8" t="inlineStr">
        <is>
          <t>Reglas de negocio (ngIf/For)</t>
        </is>
      </c>
      <c r="D19" s="3" t="inlineStr">
        <is>
          <t>Uso de directivas como *ngIf o *ngFor para control de lógica en la vista.</t>
        </is>
      </c>
      <c r="E19" s="3" t="n"/>
    </row>
    <row r="20" ht="20.1" customHeight="1">
      <c r="B20" s="87" t="inlineStr">
        <is>
          <t>Estilos SCSS</t>
        </is>
      </c>
      <c r="C20" s="4" t="inlineStr">
        <is>
          <t>Propiedad (selector)</t>
        </is>
      </c>
      <c r="D20" s="87" t="inlineStr">
        <is>
          <t>Estilizacion básica para un solo selector</t>
        </is>
      </c>
      <c r="E20" s="18" t="inlineStr">
        <is>
          <t>Definiciones con varias propieades básicas como: padding, width, color, fonts, etc.</t>
        </is>
      </c>
    </row>
    <row r="21" ht="20.1" customHeight="1">
      <c r="B21" s="88" t="n"/>
      <c r="C21" s="7" t="inlineStr">
        <is>
          <t>Metodo (mixins)</t>
        </is>
      </c>
      <c r="D21" s="87" t="inlineStr">
        <is>
          <t>Metodos para agurpar propiedades o incluir logica sencilla con parametrización</t>
        </is>
      </c>
      <c r="E21" s="87" t="n"/>
    </row>
    <row r="22" ht="20.1" customHeight="1">
      <c r="B22" s="88" t="n"/>
      <c r="C22" s="6" t="inlineStr">
        <is>
          <t>Eventos</t>
        </is>
      </c>
      <c r="D22" s="87" t="inlineStr">
        <is>
          <t xml:space="preserve">Modificaciones para cambios de estado como focus, disabled, active, etc. </t>
        </is>
      </c>
      <c r="E22" s="87" t="inlineStr">
        <is>
          <t>Suelen ser modificaciones menores.</t>
        </is>
      </c>
    </row>
    <row r="23" ht="20.1" customHeight="1">
      <c r="B23" s="88" t="n"/>
      <c r="C23" s="7" t="inlineStr">
        <is>
          <t>Integración (Angular animation)</t>
        </is>
      </c>
      <c r="D23" s="87" t="inlineStr">
        <is>
          <t>Animaciones de tamaño, colores etc con Angular animatios.</t>
        </is>
      </c>
      <c r="E23" s="87" t="n"/>
    </row>
    <row r="24" ht="20.1" customHeight="1">
      <c r="B24" s="89" t="n"/>
      <c r="C24" s="5" t="inlineStr">
        <is>
          <t>Reglas de negocio (Responsive)</t>
        </is>
      </c>
      <c r="D24" s="87" t="inlineStr">
        <is>
          <t>Responsive: Denición de flex, grids y media queries. Para</t>
        </is>
      </c>
      <c r="E24" s="87" t="n"/>
    </row>
    <row r="25" ht="20.1" customHeight="1"/>
    <row r="28">
      <c r="B28" s="76" t="inlineStr">
        <is>
          <t>Fases Tarea</t>
        </is>
      </c>
      <c r="C28" s="76" t="inlineStr">
        <is>
          <t>Descripcion</t>
        </is>
      </c>
      <c r="D28" s="90" t="n"/>
    </row>
    <row r="29">
      <c r="B29" s="23" t="inlineStr">
        <is>
          <t>Gestión</t>
        </is>
      </c>
      <c r="C29" s="3" t="inlineStr">
        <is>
          <t>daily y soporte si fuese necesario</t>
        </is>
      </c>
      <c r="D29" s="90" t="n"/>
    </row>
    <row r="30">
      <c r="B30" s="87" t="inlineStr">
        <is>
          <t>Analisis técnico</t>
        </is>
      </c>
      <c r="C30" s="87" t="inlineStr">
        <is>
          <t>Analisis o definción de la tarea. En tareas sencillas se profundizará menos y sirve con añadir descripicón en la tarea</t>
        </is>
      </c>
      <c r="D30" s="90" t="n"/>
    </row>
    <row r="31">
      <c r="B31" s="23" t="inlineStr">
        <is>
          <t>Compresión tarea</t>
        </is>
      </c>
      <c r="C31" s="3" t="inlineStr">
        <is>
          <t>Tiempo para que el desarrollador revise analisis/revisión y diseños</t>
        </is>
      </c>
      <c r="D31" s="90" t="n"/>
    </row>
    <row r="32">
      <c r="B32" s="87" t="inlineStr">
        <is>
          <t>Construcción</t>
        </is>
      </c>
      <c r="C32" s="87" t="inlineStr">
        <is>
          <t>Incluye la compresión por parte del desarrollador</t>
        </is>
      </c>
      <c r="D32" s="90" t="n"/>
    </row>
    <row r="33">
      <c r="B33" s="23" t="inlineStr">
        <is>
          <t>Tests</t>
        </is>
      </c>
      <c r="C33" s="3" t="inlineStr">
        <is>
          <t>Desarrollo de test unitarios</t>
        </is>
      </c>
      <c r="D33" s="90" t="n"/>
    </row>
    <row r="34">
      <c r="B34" s="87" t="inlineStr">
        <is>
          <t>Documentación</t>
        </is>
      </c>
      <c r="C34" s="87" t="inlineStr">
        <is>
          <t>Creación de storybook o documentación JsDoc</t>
        </is>
      </c>
      <c r="D34" s="90" t="n"/>
    </row>
    <row r="35">
      <c r="B35" s="23" t="inlineStr">
        <is>
          <t>PeerReview</t>
        </is>
      </c>
      <c r="C35" s="3" t="inlineStr">
        <is>
          <t>Revisión de código por pares</t>
        </is>
      </c>
      <c r="D35" s="90" t="n"/>
    </row>
    <row r="36">
      <c r="B36" s="87" t="inlineStr">
        <is>
          <t>Integración?</t>
        </is>
      </c>
      <c r="C36" s="87" t="inlineStr">
        <is>
          <t>Cajón desastre?</t>
        </is>
      </c>
      <c r="D36" s="90" t="n"/>
    </row>
  </sheetData>
  <mergeCells count="15">
    <mergeCell ref="C34:D34"/>
    <mergeCell ref="B17:B19"/>
    <mergeCell ref="C32:D32"/>
    <mergeCell ref="C30:D30"/>
    <mergeCell ref="C29:D29"/>
    <mergeCell ref="C33:D33"/>
    <mergeCell ref="B20:B24"/>
    <mergeCell ref="C36:D36"/>
    <mergeCell ref="C28:D28"/>
    <mergeCell ref="B9:B11"/>
    <mergeCell ref="B12:B16"/>
    <mergeCell ref="B3:B5"/>
    <mergeCell ref="C31:D31"/>
    <mergeCell ref="B6:B8"/>
    <mergeCell ref="C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Lidia Martin Velasco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2025-11-16T19:54:28Z</dcterms:modified>
  <cp:lastModifiedBy>Jose Juan Jimenez Rodriguez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0x010100DE15E621EC42C545BBA872D83C7DD619</vt:lpwstr>
  </property>
  <property name="MediaServiceImageTags" fmtid="{D5CDD505-2E9C-101B-9397-08002B2CF9AE}" pid="3">
    <vt:lpwstr xmlns:vt="http://schemas.openxmlformats.org/officeDocument/2006/docPropsVTypes"/>
  </property>
</Properties>
</file>